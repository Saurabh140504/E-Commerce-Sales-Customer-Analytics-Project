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9dfde03daa671b1/Attachments/Documents/Excel Github Project/"/>
    </mc:Choice>
  </mc:AlternateContent>
  <xr:revisionPtr revIDLastSave="0" documentId="8_{1D338082-A125-4F45-AEB3-FF58872CB339}" xr6:coauthVersionLast="47" xr6:coauthVersionMax="47" xr10:uidLastSave="{00000000-0000-0000-0000-000000000000}"/>
  <bookViews>
    <workbookView xWindow="-108" yWindow="-108" windowWidth="23256" windowHeight="12456" tabRatio="927" activeTab="9" xr2:uid="{2FF0A0B4-CE84-4F6B-8A69-15F7D87BBDFF}"/>
  </bookViews>
  <sheets>
    <sheet name="customers" sheetId="2" r:id="rId1"/>
    <sheet name="orders" sheetId="3" r:id="rId2"/>
    <sheet name="order_items" sheetId="4" r:id="rId3"/>
    <sheet name="products" sheetId="5" r:id="rId4"/>
    <sheet name="sales_cleaned" sheetId="6" r:id="rId5"/>
    <sheet name="Category Wise Revenue " sheetId="8" r:id="rId6"/>
    <sheet name="Order Count By Country" sheetId="11" r:id="rId7"/>
    <sheet name="Top10Cust" sheetId="12" r:id="rId8"/>
    <sheet name="Lost Calculation" sheetId="15" r:id="rId9"/>
    <sheet name="KPI Summary &amp; Key Finding" sheetId="9" r:id="rId10"/>
  </sheets>
  <definedNames>
    <definedName name="_xlcn.WorksheetConnection_Project1.ECommerceSalesandCustomerAnalytics.xlsxcustomers1" hidden="1">customers[]</definedName>
    <definedName name="_xlcn.WorksheetConnection_Project1.ECommerceSalesandCustomerAnalytics.xlsxorder_items1" hidden="1">order_items[]</definedName>
    <definedName name="_xlcn.WorksheetConnection_Project1.ECommerceSalesandCustomerAnalytics.xlsxorders1" hidden="1">orders[]</definedName>
    <definedName name="_xlcn.WorksheetConnection_Project1.ECommerceSalesandCustomerAnalytics.xlsxproducts1" hidden="1">products[]</definedName>
    <definedName name="_xlcn.WorksheetConnection_Project1.ECommerceSalesandCustomerAnalytics.xlsxsales_cleaned1" hidden="1">sales_cleaned[]</definedName>
    <definedName name="ExternalData_1" localSheetId="0" hidden="1">'customers'!$A$1:$C$301</definedName>
    <definedName name="ExternalData_1" localSheetId="1" hidden="1">orders!$A$1:$D$1001</definedName>
    <definedName name="ExternalData_1" localSheetId="4" hidden="1">sales_cleaned!$A$1:$J$1626</definedName>
    <definedName name="ExternalData_2" localSheetId="2" hidden="1">order_items!$A$1:$D$2001</definedName>
    <definedName name="ExternalData_3" localSheetId="3" hidden="1">products!$A$1:$C$51</definedName>
    <definedName name="Slicer_category">#N/A</definedName>
    <definedName name="Slicer_country">#N/A</definedName>
    <definedName name="Slicer_status">#N/A</definedName>
  </definedNames>
  <calcPr calcId="191029"/>
  <pivotCaches>
    <pivotCache cacheId="18" r:id="rId11"/>
    <pivotCache cacheId="19" r:id="rId12"/>
    <pivotCache cacheId="20" r:id="rId13"/>
    <pivotCache cacheId="72" r:id="rId14"/>
    <pivotCache cacheId="97" r:id="rId15"/>
  </pivotCaches>
  <extLst>
    <ext xmlns:x14="http://schemas.microsoft.com/office/spreadsheetml/2009/9/main" uri="{876F7934-8845-4945-9796-88D515C7AA90}">
      <x14:pivotCaches>
        <pivotCache cacheId="4"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cleaned" name="sales_cleaned" connection="WorksheetConnection_Project 1 . E Commerce Sales and Customer Analytics.xlsx!sales_cleaned"/>
          <x15:modelTable id="products" name="products" connection="WorksheetConnection_Project 1 . E Commerce Sales and Customer Analytics.xlsx!products"/>
          <x15:modelTable id="orders" name="orders" connection="WorksheetConnection_Project 1 . E Commerce Sales and Customer Analytics.xlsx!orders"/>
          <x15:modelTable id="order_items" name="order_items" connection="WorksheetConnection_Project 1 . E Commerce Sales and Customer Analytics.xlsx!order_items"/>
          <x15:modelTable id="customers" name="customers" connection="WorksheetConnection_Project 1 . E Commerce Sales and Customer Analytics.xlsx!customers"/>
        </x15:modelTables>
        <x15:modelRelationships>
          <x15:modelRelationship fromTable="sales_cleaned" fromColumn="customer_id" toTable="customers" toColumn="customer_id"/>
          <x15:modelRelationship fromTable="sales_cleaned" fromColumn="product_id" toTable="products" toColumn="product_id"/>
          <x15:modelRelationship fromTable="orders" fromColumn="customer_id" toTable="customers" toColumn="customer_id"/>
          <x15:modelRelationship fromTable="order_items" fromColumn="order_id" toTable="orders" toColumn="order_id"/>
          <x15:modelRelationship fromTable="order_item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1" i="9" l="1" a="1"/>
  <c r="D11" i="9" s="1"/>
  <c r="D10" i="9" a="1"/>
  <c r="D10" i="9" s="1"/>
  <c r="D9" i="9"/>
  <c r="D8" i="9"/>
  <c r="D7" i="9"/>
  <c r="D5" i="9"/>
  <c r="H13" i="4"/>
  <c r="E12" i="2"/>
  <c r="H8" i="4"/>
  <c r="F8" i="4"/>
  <c r="F7" i="4"/>
  <c r="H8" i="3"/>
  <c r="G8" i="3"/>
  <c r="F8" i="3"/>
  <c r="D6" i="9"/>
  <c r="I10" i="15"/>
  <c r="I9" i="15"/>
  <c r="I8" i="15"/>
  <c r="I7" i="15"/>
  <c r="I6" i="15"/>
  <c r="I5" i="15"/>
  <c r="H10" i="15"/>
  <c r="H9" i="15"/>
  <c r="H8" i="15"/>
  <c r="H7" i="15"/>
  <c r="H6" i="15"/>
  <c r="H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F4F449-8DF8-46B1-AD1F-E7F570AE1C3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EF0350E-1EBA-4ED4-8FE9-D890A99BE8BA}" keepAlive="1" name="Query - order_items" description="Connection to the 'order_items' query in the workbook." type="5" refreshedVersion="8" background="1" saveData="1">
    <dbPr connection="Provider=Microsoft.Mashup.OleDb.1;Data Source=$Workbook$;Location=order_items;Extended Properties=&quot;&quot;" command="SELECT * FROM [order_items]"/>
  </connection>
  <connection id="3" xr16:uid="{AFF0ECC8-40D7-444A-B26A-E25D9CC35A6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DF954E4C-785E-4C28-92CE-E0707A94FEE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8FF66B31-89F9-4316-9A6E-D47247E79265}" keepAlive="1" name="Query - sales_cleaned" description="Connection to the 'sales_cleaned' query in the workbook." type="5" refreshedVersion="8" background="1" saveData="1">
    <dbPr connection="Provider=Microsoft.Mashup.OleDb.1;Data Source=$Workbook$;Location=sales_cleaned;Extended Properties=&quot;&quot;" command="SELECT * FROM [sales_cleaned]"/>
  </connection>
  <connection id="6" xr16:uid="{B00DA1BB-782C-48EF-916D-5213D7D904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FB2EC26-3096-452B-82D3-F637EEAE1A76}" name="WorksheetConnection_Project 1 . E Commerce Sales and Customer Analytics.xlsx!customers" type="102" refreshedVersion="8" minRefreshableVersion="5">
    <extLst>
      <ext xmlns:x15="http://schemas.microsoft.com/office/spreadsheetml/2010/11/main" uri="{DE250136-89BD-433C-8126-D09CA5730AF9}">
        <x15:connection id="customers">
          <x15:rangePr sourceName="_xlcn.WorksheetConnection_Project1.ECommerceSalesandCustomerAnalytics.xlsxcustomers1"/>
        </x15:connection>
      </ext>
    </extLst>
  </connection>
  <connection id="8" xr16:uid="{C28FE2DD-94FD-47D8-995E-8C269954DBF6}" name="WorksheetConnection_Project 1 . E Commerce Sales and Customer Analytics.xlsx!order_items" type="102" refreshedVersion="8" minRefreshableVersion="5">
    <extLst>
      <ext xmlns:x15="http://schemas.microsoft.com/office/spreadsheetml/2010/11/main" uri="{DE250136-89BD-433C-8126-D09CA5730AF9}">
        <x15:connection id="order_items">
          <x15:rangePr sourceName="_xlcn.WorksheetConnection_Project1.ECommerceSalesandCustomerAnalytics.xlsxorder_items1"/>
        </x15:connection>
      </ext>
    </extLst>
  </connection>
  <connection id="9" xr16:uid="{BBC9D973-3292-44F0-B140-3B745094F951}" name="WorksheetConnection_Project 1 . E Commerce Sales and Customer Analytics.xlsx!orders" type="102" refreshedVersion="8" minRefreshableVersion="5">
    <extLst>
      <ext xmlns:x15="http://schemas.microsoft.com/office/spreadsheetml/2010/11/main" uri="{DE250136-89BD-433C-8126-D09CA5730AF9}">
        <x15:connection id="orders">
          <x15:rangePr sourceName="_xlcn.WorksheetConnection_Project1.ECommerceSalesandCustomerAnalytics.xlsxorders1"/>
        </x15:connection>
      </ext>
    </extLst>
  </connection>
  <connection id="10" xr16:uid="{2B811B31-B2CF-43C6-BDA1-3705193BB59C}" name="WorksheetConnection_Project 1 . E Commerce Sales and Customer Analytics.xlsx!products" type="102" refreshedVersion="8" minRefreshableVersion="5">
    <extLst>
      <ext xmlns:x15="http://schemas.microsoft.com/office/spreadsheetml/2010/11/main" uri="{DE250136-89BD-433C-8126-D09CA5730AF9}">
        <x15:connection id="products">
          <x15:rangePr sourceName="_xlcn.WorksheetConnection_Project1.ECommerceSalesandCustomerAnalytics.xlsxproducts1"/>
        </x15:connection>
      </ext>
    </extLst>
  </connection>
  <connection id="11" xr16:uid="{25DAF3F8-D2A4-4C45-A3DF-D58E10FD70DD}" name="WorksheetConnection_Project 1 . E Commerce Sales and Customer Analytics.xlsx!sales_cleaned" type="102" refreshedVersion="8" minRefreshableVersion="5">
    <extLst>
      <ext xmlns:x15="http://schemas.microsoft.com/office/spreadsheetml/2010/11/main" uri="{DE250136-89BD-433C-8126-D09CA5730AF9}">
        <x15:connection id="sales_cleaned" autoDelete="1">
          <x15:rangePr sourceName="_xlcn.WorksheetConnection_Project1.ECommerceSalesandCustomerAnalytics.xlsxsales_cleaned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<sst xmlns="http://schemas.openxmlformats.org/spreadsheetml/2006/main" count="3127" uniqueCount="102">
  <si>
    <t>customer_id</t>
  </si>
  <si>
    <t>country</t>
  </si>
  <si>
    <t>signup_date</t>
  </si>
  <si>
    <t>Spain</t>
  </si>
  <si>
    <t>Italy</t>
  </si>
  <si>
    <t>France</t>
  </si>
  <si>
    <t>Morocco</t>
  </si>
  <si>
    <t>Germany</t>
  </si>
  <si>
    <t>order_id</t>
  </si>
  <si>
    <t>order_date</t>
  </si>
  <si>
    <t>status</t>
  </si>
  <si>
    <t>Completed</t>
  </si>
  <si>
    <t>Cancelled</t>
  </si>
  <si>
    <t>Returned</t>
  </si>
  <si>
    <t>product_id</t>
  </si>
  <si>
    <t>quantity</t>
  </si>
  <si>
    <t>price</t>
  </si>
  <si>
    <t>product_name</t>
  </si>
  <si>
    <t>category</t>
  </si>
  <si>
    <t>Product_1</t>
  </si>
  <si>
    <t>Body</t>
  </si>
  <si>
    <t>Product_2</t>
  </si>
  <si>
    <t>Skin</t>
  </si>
  <si>
    <t>Product_3</t>
  </si>
  <si>
    <t>Hair</t>
  </si>
  <si>
    <t>Product_4</t>
  </si>
  <si>
    <t>Product_5</t>
  </si>
  <si>
    <t>Product_6</t>
  </si>
  <si>
    <t>Product_7</t>
  </si>
  <si>
    <t>Product_8</t>
  </si>
  <si>
    <t>Product_9</t>
  </si>
  <si>
    <t>Makeup</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</si>
  <si>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</si>
  <si>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</si>
  <si>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</si>
  <si>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</si>
  <si>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</si>
  <si>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</si>
  <si>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</si>
  <si>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</si>
  <si>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</si>
  <si>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</si>
  <si>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</si>
  <si>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</si>
  <si>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</si>
  <si>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</si>
  <si>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</si>
  <si>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</si>
  <si>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</si>
  <si>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</si>
  <si>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</si>
  <si>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</si>
  <si>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</si>
  <si>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</si>
  <si>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</si>
  <si>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</si>
  <si>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</si>
  <si>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</si>
  <si>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</si>
  <si>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</si>
  <si>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</si>
  <si>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</si>
  <si>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</si>
  <si>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</si>
  <si>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</si>
  <si>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</si>
  <si>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</si>
  <si>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</si>
  <si>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</si>
  <si>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</si>
  <si>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</si>
  <si>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</si>
  <si>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</si>
  <si>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Revenue</t>
  </si>
  <si>
    <t>year</t>
  </si>
  <si>
    <t>month</t>
  </si>
  <si>
    <t>Sum of Revenue</t>
  </si>
  <si>
    <t>Column Labels</t>
  </si>
  <si>
    <t>Grand Total</t>
  </si>
  <si>
    <t>Row Labels</t>
  </si>
  <si>
    <t>KPI</t>
  </si>
  <si>
    <t>Result</t>
  </si>
  <si>
    <t>Total Revenue</t>
  </si>
  <si>
    <t>Cancellation Rate</t>
  </si>
  <si>
    <t>Return Rate</t>
  </si>
  <si>
    <t>AVG Orders</t>
  </si>
  <si>
    <t>Distinct Count of order_id</t>
  </si>
  <si>
    <t>KPI SUMMARY CHART</t>
  </si>
  <si>
    <t>Total Order Lost</t>
  </si>
  <si>
    <t>Country</t>
  </si>
  <si>
    <t>Key Finding</t>
  </si>
  <si>
    <t>1. Approximately 19.5% of orders were lost due to cancellations and returns.</t>
  </si>
  <si>
    <t>2. France has the highest cancellation rate (11.86%).</t>
  </si>
  <si>
    <t>3. Germany has the highest return rate (11.31%).</t>
  </si>
  <si>
    <t>4. Spain demonstrates the strongest order completion performance.</t>
  </si>
  <si>
    <t>5. Italy shows both cancellation and return rates above 10%, requiring further investigation.</t>
  </si>
  <si>
    <t>Repeat Purchase Rate</t>
  </si>
  <si>
    <t>Never-Ordered Customers</t>
  </si>
  <si>
    <t>6. 82% of customers are repeat buyers; 15 customers (5%) have never placed an order.</t>
  </si>
  <si>
    <t>Cancelled Rate%</t>
  </si>
  <si>
    <t>Returned Rate %</t>
  </si>
  <si>
    <t>Total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</si>
</sst>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79" formatCode="0.000000000000000%"/>
  </numFmts>
  <fonts count="3" x14ac:knownFonts="1">
    <font>
      <sz val="11"/>
      <color theme="1"/>
      <name val="Aptos Narrow"/>
      <family val="2"/>
      <scheme val="minor"/>
    </font>
    <font>
      <b/>
      <sz val="11"/>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32">
    <xf numFmtId="0" fontId="0" fillId="0" borderId="0" xfId="0"/>
    <xf numFmtId="14" fontId="0" fillId="0" borderId="0" xfId="0" applyNumberFormat="1"/>
    <xf numFmtId="0" fontId="0" fillId="2"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0" xfId="0" applyFill="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2" fillId="2" borderId="0" xfId="0" applyFont="1" applyFill="1"/>
    <xf numFmtId="0" fontId="0" fillId="2" borderId="0" xfId="0" applyFill="1"/>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164" fontId="0" fillId="2" borderId="1" xfId="0" applyNumberFormat="1" applyFill="1" applyBorder="1" applyAlignment="1">
      <alignment vertical="center" wrapText="1"/>
    </xf>
    <xf numFmtId="165" fontId="0" fillId="2" borderId="1" xfId="0" applyNumberFormat="1" applyFill="1" applyBorder="1" applyAlignment="1">
      <alignment vertical="center" wrapText="1"/>
    </xf>
    <xf numFmtId="10" fontId="0" fillId="2" borderId="1" xfId="0" applyNumberFormat="1" applyFill="1" applyBorder="1" applyAlignment="1">
      <alignment vertical="center" wrapText="1"/>
    </xf>
    <xf numFmtId="10" fontId="0" fillId="2" borderId="1" xfId="0" applyNumberFormat="1" applyFill="1" applyBorder="1"/>
    <xf numFmtId="10" fontId="0" fillId="0" borderId="0" xfId="0" applyNumberFormat="1"/>
    <xf numFmtId="0" fontId="0" fillId="0" borderId="0" xfId="0" applyNumberFormat="1"/>
    <xf numFmtId="179" fontId="0" fillId="0" borderId="0" xfId="0" applyNumberFormat="1"/>
    <xf numFmtId="10" fontId="0" fillId="2" borderId="11" xfId="0" applyNumberFormat="1" applyFill="1" applyBorder="1"/>
    <xf numFmtId="10" fontId="0" fillId="2" borderId="12" xfId="0" applyNumberFormat="1" applyFill="1" applyBorder="1"/>
    <xf numFmtId="10" fontId="0" fillId="2" borderId="13" xfId="0" applyNumberFormat="1" applyFill="1" applyBorder="1"/>
    <xf numFmtId="10" fontId="0" fillId="2" borderId="14" xfId="0" applyNumberFormat="1" applyFill="1" applyBorder="1"/>
    <xf numFmtId="10" fontId="0" fillId="2" borderId="2" xfId="0" applyNumberFormat="1" applyFill="1" applyBorder="1"/>
    <xf numFmtId="10" fontId="0" fillId="2" borderId="15" xfId="0" applyNumberFormat="1" applyFill="1" applyBorder="1"/>
  </cellXfs>
  <cellStyles count="1">
    <cellStyle name="Normal" xfId="0" builtinId="0"/>
  </cellStyles>
  <dxfs count="10">
    <dxf>
      <font>
        <color rgb="FF9C0006"/>
      </font>
      <fill>
        <patternFill>
          <bgColor rgb="FFFFC7CE"/>
        </patternFill>
      </fill>
    </dxf>
    <dxf>
      <font>
        <color rgb="FF006100"/>
      </font>
      <fill>
        <patternFill>
          <bgColor rgb="FFC6EFCE"/>
        </patternFill>
      </fil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[Ecommerce_Analysis.xlsx]Category Wise Revenue !PivotTable2</c:name>
    <c:fmtId val="0"/>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 Wise Revenue '!$B$3:$B$4</c:f>
              <c:strCache>
                <c:ptCount val="1"/>
                <c:pt idx="0">
                  <c:v>Body</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'Category Wise Revenue '!$A$5:$A$18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'Category Wise Revenue '!$B$5:$B$18</c:f>
              <c:numCache>
                <c:formatCode>General</c:formatCode>
                <c:ptCount val="12"/>
                <c:pt idx="0">
                  <c:v>7540</c:v>
                </c:pt>
                <c:pt idx="1">
                  <c:v>6040</c:v>
                </c:pt>
                <c:pt idx="2">
                  <c:v>4282</c:v>
                </c:pt>
                <c:pt idx="3">
                  <c:v>8395</c:v>
                </c:pt>
                <c:pt idx="4">
                  <c:v>5566</c:v>
                </c:pt>
                <c:pt idx="5">
                  <c:v>5424</c:v>
                </c:pt>
                <c:pt idx="6">
                  <c:v>6590</c:v>
                </c:pt>
                <c:pt idx="7">
                  <c:v>5894</c:v>
                </c:pt>
                <c:pt idx="8">
                  <c:v>5506</c:v>
                </c:pt>
                <c:pt idx="9">
                  <c:v>6485</c:v>
                </c:pt>
                <c:pt idx="10">
                  <c:v>6815</c:v>
                </c:pt>
                <c:pt idx="11">
                  <c:v>7474</c:v>
                </c:pt>
              </c:numCache>
            </c:numRef>
          </c:val>
          <c:smooth val="0"/>
          <c:extLst>
            <c:ext xmlns:c16="http://schemas.microsoft.com/office/drawing/2014/chart" uri="{C3380CC4-5D6E-409C-BE32-E72D297353CC}">
              <c16:uniqueId val="{00000000-B3F8-4C84-984D-B5FE88B7E929}"/>
            </c:ext>
          </c:extLst>
        </c:ser>
        <c:ser>
          <c:idx val="1"/>
          <c:order val="1"/>
          <c:tx>
            <c:strRef>
              <c:f>'Category Wise Revenue '!$C$3:$C$4</c:f>
              <c:strCache>
                <c:ptCount val="1"/>
                <c:pt idx="0">
                  <c:v>Hair</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'Category Wise Revenue '!$A$5:$A$18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'Category Wise Revenue '!$C$5:$C$18</c:f>
              <c:numCache>
                <c:formatCode>General</c:formatCode>
                <c:ptCount val="12"/>
                <c:pt idx="0">
                  <c:v>11069</c:v>
                </c:pt>
                <c:pt idx="1">
                  <c:v>7828</c:v>
                </c:pt>
                <c:pt idx="2">
                  <c:v>8641</c:v>
                </c:pt>
                <c:pt idx="3">
                  <c:v>7840</c:v>
                </c:pt>
                <c:pt idx="4">
                  <c:v>6477</c:v>
                </c:pt>
                <c:pt idx="5">
                  <c:v>7259</c:v>
                </c:pt>
                <c:pt idx="6">
                  <c:v>7608</c:v>
                </c:pt>
                <c:pt idx="7">
                  <c:v>10519</c:v>
                </c:pt>
                <c:pt idx="8">
                  <c:v>8196</c:v>
                </c:pt>
                <c:pt idx="9">
                  <c:v>11439</c:v>
                </c:pt>
                <c:pt idx="10">
                  <c:v>7117</c:v>
                </c:pt>
                <c:pt idx="11">
                  <c:v>7644</c:v>
                </c:pt>
              </c:numCache>
            </c:numRef>
          </c:val>
          <c:smooth val="0"/>
          <c:extLst>
            <c:ext xmlns:c16="http://schemas.microsoft.com/office/drawing/2014/chart" uri="{C3380CC4-5D6E-409C-BE32-E72D297353CC}">
              <c16:uniqueId val="{00000001-B3F8-4C84-984D-B5FE88B7E929}"/>
            </c:ext>
          </c:extLst>
        </c:ser>
        <c:ser>
          <c:idx val="2"/>
          <c:order val="2"/>
          <c:tx>
            <c:strRef>
              <c:f>'Category Wise Revenue '!$D$3:$D$4</c:f>
              <c:strCache>
                <c:ptCount val="1"/>
                <c:pt idx="0">
                  <c:v>Makeup</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'Category Wise Revenue '!$A$5:$A$18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'Category Wise Revenue '!$D$5:$D$18</c:f>
              <c:numCache>
                <c:formatCode>General</c:formatCode>
                <c:ptCount val="12"/>
                <c:pt idx="0">
                  <c:v>8345</c:v>
                </c:pt>
                <c:pt idx="1">
                  <c:v>4398</c:v>
                </c:pt>
                <c:pt idx="2">
                  <c:v>9900</c:v>
                </c:pt>
                <c:pt idx="3">
                  <c:v>7724</c:v>
                </c:pt>
                <c:pt idx="4">
                  <c:v>5938</c:v>
                </c:pt>
                <c:pt idx="5">
                  <c:v>4957</c:v>
                </c:pt>
                <c:pt idx="6">
                  <c:v>7642</c:v>
                </c:pt>
                <c:pt idx="7">
                  <c:v>6662</c:v>
                </c:pt>
                <c:pt idx="8">
                  <c:v>6330</c:v>
                </c:pt>
                <c:pt idx="9">
                  <c:v>7349</c:v>
                </c:pt>
                <c:pt idx="10">
                  <c:v>4617</c:v>
                </c:pt>
                <c:pt idx="11">
                  <c:v>7223</c:v>
                </c:pt>
              </c:numCache>
            </c:numRef>
          </c:val>
          <c:smooth val="0"/>
          <c:extLst>
            <c:ext xmlns:c16="http://schemas.microsoft.com/office/drawing/2014/chart" uri="{C3380CC4-5D6E-409C-BE32-E72D297353CC}">
              <c16:uniqueId val="{00000002-B3F8-4C84-984D-B5FE88B7E929}"/>
            </c:ext>
          </c:extLst>
        </c:ser>
        <c:ser>
          <c:idx val="3"/>
          <c:order val="3"/>
          <c:tx>
            <c:strRef>
              <c:f>'Category Wise Revenue '!$E$3:$E$4</c:f>
              <c:strCache>
                <c:ptCount val="1"/>
                <c:pt idx="0">
                  <c:v>Skin</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'Category Wise Revenue '!$A$5:$A$18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'Category Wise Revenue '!$E$5:$E$18</c:f>
              <c:numCache>
                <c:formatCode>General</c:formatCode>
                <c:ptCount val="12"/>
                <c:pt idx="0">
                  <c:v>3994</c:v>
                </c:pt>
                <c:pt idx="1">
                  <c:v>5033</c:v>
                </c:pt>
                <c:pt idx="2">
                  <c:v>4191</c:v>
                </c:pt>
                <c:pt idx="3">
                  <c:v>3880</c:v>
                </c:pt>
                <c:pt idx="4">
                  <c:v>4980</c:v>
                </c:pt>
                <c:pt idx="5">
                  <c:v>5179</c:v>
                </c:pt>
                <c:pt idx="6">
                  <c:v>2279</c:v>
                </c:pt>
                <c:pt idx="7">
                  <c:v>4296</c:v>
                </c:pt>
                <c:pt idx="8">
                  <c:v>3300</c:v>
                </c:pt>
                <c:pt idx="9">
                  <c:v>5587</c:v>
                </c:pt>
                <c:pt idx="10">
                  <c:v>5207</c:v>
                </c:pt>
                <c:pt idx="11">
                  <c:v>4452</c:v>
                </c:pt>
              </c:numCache>
            </c:numRef>
          </c:val>
          <c:smooth val="0"/>
          <c:extLst>
            <c:ext xmlns:c16="http://schemas.microsoft.com/office/drawing/2014/chart" uri="{C3380CC4-5D6E-409C-BE32-E72D297353CC}">
              <c16:uniqueId val="{00000003-B3F8-4C84-984D-B5FE88B7E92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42600655"/>
        <c:axId val="428662223"/>
      </c:lineChart>
      <c:catAx>
        <c:axId val="12426006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28662223"/>
        <c:crosses val="autoZero"/>
        <c:auto val="1"/>
        <c:lblAlgn val="ctr"/>
        <c:lblOffset val="100"/>
        <c:noMultiLvlLbl val="0"/>
      </c:catAx>
      <c:valAx>
        <c:axId val="42866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426006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[Ecommerce_Analysis.xlsx]Order Count By Country!PivotTable6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'Order Count By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'Order Count By Country'!$A$4:$A$24</c:f>
              <c:multiLvlStrCache>
                <c:ptCount val="15"/>
                <c:lvl>
                  <c:pt idx="0">
                    <c:v>Cancelled</c:v>
                  </c:pt>
                  <c:pt idx="1">
                    <c:v>Completed</c:v>
                  </c:pt>
                  <c:pt idx="2">
                    <c:v>Returned</c:v>
                  </c:pt>
                  <c:pt idx="3">
                    <c:v>Cancelled</c:v>
                  </c:pt>
                  <c:pt idx="4">
                    <c:v>Completed</c:v>
                  </c:pt>
                  <c:pt idx="5">
                    <c:v>Returned</c:v>
                  </c:pt>
                  <c:pt idx="6">
                    <c:v>Cancelled</c:v>
                  </c:pt>
                  <c:pt idx="7">
                    <c:v>Completed</c:v>
                  </c:pt>
                  <c:pt idx="8">
                    <c:v>Returned</c:v>
                  </c:pt>
                  <c:pt idx="9">
                    <c:v>Cancelled</c:v>
                  </c:pt>
                  <c:pt idx="10">
                    <c:v>Completed</c:v>
                  </c:pt>
                  <c:pt idx="11">
                    <c:v>Returned</c:v>
                  </c:pt>
                  <c:pt idx="12">
                    <c:v>Cancelled</c:v>
                  </c:pt>
                  <c:pt idx="13">
                    <c:v>Completed</c:v>
                  </c:pt>
                  <c:pt idx="14">
                    <c:v>Returned</c:v>
                  </c:pt>
                </c:lvl>
                <c:lvl>
                  <c:pt idx="0">
                    <c:v>France</c:v>
                  </c:pt>
                  <c:pt idx="3">
                    <c:v>Germany</c:v>
                  </c:pt>
                  <c:pt idx="6">
                    <c:v>Italy</c:v>
                  </c:pt>
                  <c:pt idx="9">
                    <c:v>Morocco</c:v>
                  </c:pt>
                  <c:pt idx="12">
                    <c:v>Spain</c:v>
                  </c:pt>
                </c:lvl>
              </c:multiLvlStrCache>
            </c:multiLvlStrRef>
          </c:cat>
          <c:val>
            <c:numRef>
              <c:f>'Order Count By Country'!$B$4:$B$24</c:f>
              <c:numCache>
                <c:formatCode>General</c:formatCode>
                <c:ptCount val="15"/>
                <c:pt idx="0">
                  <c:v>23</c:v>
                </c:pt>
                <c:pt idx="1">
                  <c:v>156</c:v>
                </c:pt>
                <c:pt idx="2">
                  <c:v>15</c:v>
                </c:pt>
                <c:pt idx="3">
                  <c:v>16</c:v>
                </c:pt>
                <c:pt idx="4">
                  <c:v>133</c:v>
                </c:pt>
                <c:pt idx="5">
                  <c:v>19</c:v>
                </c:pt>
                <c:pt idx="6">
                  <c:v>23</c:v>
                </c:pt>
                <c:pt idx="7">
                  <c:v>177</c:v>
                </c:pt>
                <c:pt idx="8">
                  <c:v>23</c:v>
                </c:pt>
                <c:pt idx="9">
                  <c:v>20</c:v>
                </c:pt>
                <c:pt idx="10">
                  <c:v>154</c:v>
                </c:pt>
                <c:pt idx="11">
                  <c:v>16</c:v>
                </c:pt>
                <c:pt idx="12">
                  <c:v>21</c:v>
                </c:pt>
                <c:pt idx="13">
                  <c:v>185</c:v>
                </c:pt>
                <c:pt idx="14">
                  <c:v>19</c:v>
                </c:pt>
              </c:numCache>
            </c:numRef>
          </c:val>
          <c:extLst>
            <c:ext xmlns:c16="http://schemas.microsoft.com/office/drawing/2014/chart" uri="{C3380CC4-5D6E-409C-BE32-E72D297353CC}">
              <c16:uniqueId val="{00000000-F0AA-402E-AF81-DCE11F5B8020}"/>
            </c:ext>
          </c:extLst>
        </c:ser>
        <c:dLbls>
          <c:dLblPos val="ctr"/>
          <c:showLegendKey val="0"/>
          <c:showVal val="1"/>
          <c:showCatName val="0"/>
          <c:showSerName val="0"/>
          <c:showPercent val="0"/>
          <c:showBubbleSize val="0"/>
        </c:dLbls>
        <c:gapWidth val="79"/>
        <c:overlap val="100"/>
        <c:axId val="442603519"/>
        <c:axId val="428678543"/>
      </c:barChart>
      <c:catAx>
        <c:axId val="44260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28678543"/>
        <c:crosses val="autoZero"/>
        <c:auto val="1"/>
        <c:lblAlgn val="ctr"/>
        <c:lblOffset val="100"/>
        <c:noMultiLvlLbl val="0"/>
      </c:catAx>
      <c:valAx>
        <c:axId val="428678543"/>
        <c:scaling>
          <c:orientation val="minMax"/>
        </c:scaling>
        <c:delete val="1"/>
        <c:axPos val="b"/>
        <c:numFmt formatCode="General" sourceLinked="1"/>
        <c:majorTickMark val="none"/>
        <c:minorTickMark val="none"/>
        <c:tickLblPos val="nextTo"/>
        <c:crossAx val="44260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[Ecommerce_Analysis.xlsx]Top10Cust!PivotTable7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Top10Cust!$F$2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Top10Cust!$E$3:$E$13</c:f>
              <c:strCache>
                <c:ptCount val="10"/>
                <c:pt idx="0">
                  <c:v>13</c:v>
                </c:pt>
                <c:pt idx="1">
                  <c:v>39</c:v>
                </c:pt>
                <c:pt idx="2">
                  <c:v>76</c:v>
                </c:pt>
                <c:pt idx="3">
                  <c:v>113</c:v>
                </c:pt>
                <c:pt idx="4">
                  <c:v>126</c:v>
                </c:pt>
                <c:pt idx="5">
                  <c:v>130</c:v>
                </c:pt>
                <c:pt idx="6">
                  <c:v>144</c:v>
                </c:pt>
                <c:pt idx="7">
                  <c:v>152</c:v>
                </c:pt>
                <c:pt idx="8">
                  <c:v>231</c:v>
                </c:pt>
                <c:pt idx="9">
                  <c:v>277</c:v>
                </c:pt>
              </c:strCache>
            </c:strRef>
          </c:cat>
          <c:val>
            <c:numRef>
              <c:f>Top10Cust!$F$3:$F$13</c:f>
              <c:numCache>
                <c:formatCode>General</c:formatCode>
                <c:ptCount val="10"/>
                <c:pt idx="0">
                  <c:v>5048</c:v>
                </c:pt>
                <c:pt idx="1">
                  <c:v>4564</c:v>
                </c:pt>
                <c:pt idx="2">
                  <c:v>3330</c:v>
                </c:pt>
                <c:pt idx="3">
                  <c:v>2960</c:v>
                </c:pt>
                <c:pt idx="4">
                  <c:v>2960</c:v>
                </c:pt>
                <c:pt idx="5">
                  <c:v>2949</c:v>
                </c:pt>
                <c:pt idx="6">
                  <c:v>3420</c:v>
                </c:pt>
                <c:pt idx="7">
                  <c:v>4309</c:v>
                </c:pt>
                <c:pt idx="8">
                  <c:v>2807</c:v>
                </c:pt>
                <c:pt idx="9">
                  <c:v>2939</c:v>
                </c:pt>
              </c:numCache>
            </c:numRef>
          </c:val>
          <c:extLst>
            <c:ext xmlns:c16="http://schemas.microsoft.com/office/drawing/2014/chart" uri="{C3380CC4-5D6E-409C-BE32-E72D297353CC}">
              <c16:uniqueId val="{00000000-5995-43FA-8B8A-0BEB3CA57A90}"/>
            </c:ext>
          </c:extLst>
        </c:ser>
        <c:dLbls>
          <c:dLblPos val="outEnd"/>
          <c:showLegendKey val="0"/>
          <c:showVal val="1"/>
          <c:showCatName val="0"/>
          <c:showSerName val="0"/>
          <c:showPercent val="0"/>
          <c:showBubbleSize val="0"/>
        </c:dLbls>
        <c:gapWidth val="115"/>
        <c:overlap val="-20"/>
        <c:axId val="1924726688"/>
        <c:axId val="1425879760"/>
      </c:barChart>
      <c:catAx>
        <c:axId val="1924726688"/>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879760"/>
        <c:crosses val="autoZero"/>
        <c:auto val="1"/>
        <c:lblAlgn val="ctr"/>
        <c:lblOffset val="100"/>
        <c:noMultiLvlLbl val="0"/>
      </c:catAx>
      <c:valAx>
        <c:axId val="14258797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472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'Lost Calculation'!$G$5:$G$9</c:f>
              <c:strCache>
                <c:ptCount val="5"/>
                <c:pt idx="0">
                  <c:v>France</c:v>
                </c:pt>
                <c:pt idx="1">
                  <c:v>Germany</c:v>
                </c:pt>
                <c:pt idx="2">
                  <c:v>Italy</c:v>
                </c:pt>
                <c:pt idx="3">
                  <c:v>Morocco</c:v>
                </c:pt>
                <c:pt idx="4">
                  <c:v>Spain</c:v>
                </c:pt>
              </c:strCache>
            </c:strRef>
          </c:cat>
          <c:val>
            <c:numRef>
              <c:f>'Lost Calculation'!$H$5:$H$9</c:f>
              <c:numCache>
                <c:formatCode>0.00%</c:formatCode>
                <c:ptCount val="5"/>
                <c:pt idx="0">
                  <c:v>0.11855670103092783</c:v>
                </c:pt>
                <c:pt idx="1">
                  <c:v>9.5238095238095233E-2</c:v>
                </c:pt>
                <c:pt idx="2">
                  <c:v>0.1031390134529148</c:v>
                </c:pt>
                <c:pt idx="3">
                  <c:v>0.10526315789473684</c:v>
                </c:pt>
                <c:pt idx="4">
                  <c:v>9.3333333333333338E-2</c:v>
                </c:pt>
              </c:numCache>
            </c:numRef>
          </c:val>
          <c:extLst>
            <c:ext xmlns:c16="http://schemas.microsoft.com/office/drawing/2014/chart" uri="{C3380CC4-5D6E-409C-BE32-E72D297353CC}">
              <c16:uniqueId val="{00000000-6919-4FD8-94D7-DBE195830643}"/>
            </c:ext>
          </c:extLst>
        </c:ser>
        <c:ser>
          <c:idx val="1"/>
          <c:order val="1"/>
          <c:spPr>
            <a:solidFill>
              <a:schemeClr val="accent2"/>
            </a:solidFill>
            <a:ln>
              <a:noFill/>
            </a:ln>
            <a:effectLst/>
            <a:sp3d/>
          </c:spPr>
          <c:invertIfNegative val="0"/>
          <c:cat>
            <c:strRef>
              <c:f>'Lost Calculation'!$G$5:$G$9</c:f>
              <c:strCache>
                <c:ptCount val="5"/>
                <c:pt idx="0">
                  <c:v>France</c:v>
                </c:pt>
                <c:pt idx="1">
                  <c:v>Germany</c:v>
                </c:pt>
                <c:pt idx="2">
                  <c:v>Italy</c:v>
                </c:pt>
                <c:pt idx="3">
                  <c:v>Morocco</c:v>
                </c:pt>
                <c:pt idx="4">
                  <c:v>Spain</c:v>
                </c:pt>
              </c:strCache>
            </c:strRef>
          </c:cat>
          <c:val>
            <c:numRef>
              <c:f>'Lost Calculation'!$I$5:$I$9</c:f>
              <c:numCache>
                <c:formatCode>0.00%</c:formatCode>
                <c:ptCount val="5"/>
                <c:pt idx="0">
                  <c:v>7.7319587628865982E-2</c:v>
                </c:pt>
                <c:pt idx="1">
                  <c:v>0.1130952380952381</c:v>
                </c:pt>
                <c:pt idx="2">
                  <c:v>0.1031390134529148</c:v>
                </c:pt>
                <c:pt idx="3">
                  <c:v>8.4210526315789472E-2</c:v>
                </c:pt>
                <c:pt idx="4">
                  <c:v>8.4444444444444447E-2</c:v>
                </c:pt>
              </c:numCache>
            </c:numRef>
          </c:val>
          <c:extLst>
            <c:ext xmlns:c16="http://schemas.microsoft.com/office/drawing/2014/chart" uri="{C3380CC4-5D6E-409C-BE32-E72D297353CC}">
              <c16:uniqueId val="{00000001-6919-4FD8-94D7-DBE195830643}"/>
            </c:ext>
          </c:extLst>
        </c:ser>
        <c:dLbls>
          <c:showLegendKey val="0"/>
          <c:showVal val="0"/>
          <c:showCatName val="0"/>
          <c:showSerName val="0"/>
          <c:showPercent val="0"/>
          <c:showBubbleSize val="0"/>
        </c:dLbls>
        <c:gapWidth val="150"/>
        <c:shape val="box"/>
        <c:axId val="1252626624"/>
        <c:axId val="1305419984"/>
        <c:axId val="0"/>
      </c:bar3DChart>
      <c:catAx>
        <c:axId val="1252626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19984"/>
        <c:crosses val="autoZero"/>
        <c:auto val="1"/>
        <c:lblAlgn val="ctr"/>
        <c:lblOffset val="100"/>
        <c:noMultiLvlLbl val="0"/>
      </c:catAx>
      <c:valAx>
        <c:axId val="130541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626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KPI</a:t>
            </a:r>
            <a:r>
              <a:rPr lang="en-US" baseline="0"/>
              <a:t> SUMMARY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Summary &amp; Key Finding'!$D$4</c:f>
              <c:strCache>
                <c:ptCount val="1"/>
                <c:pt idx="0">
                  <c:v>Result</c:v>
                </c:pt>
              </c:strCache>
            </c:strRef>
          </c:tx>
          <c:spPr>
            <a:gradFill>
              <a:gsLst>
                <a:gs pos="100000">
                  <a:schemeClr val="accent1">
                    <a:alpha val="0"/>
                  </a:schemeClr>
                </a:gs>
                <a:gs pos="50000">
                  <a:schemeClr val="accent1"/>
                </a:gs>
              </a:gsLst>
              <a:lin ang="5400000" scaled="0"/>
            </a:gradFill>
            <a:ln>
              <a:noFill/>
            </a:ln>
            <a:effectLst/>
            <a:sp3d/>
          </c:spPr>
          <c:invertIfNegative val="0"/>
          <c:cat>
            <c:strRef>
              <c:f>'KPI Summary &amp; Key Finding'!$C$5:$C$11</c:f>
              <c:strCache>
                <c:ptCount val="7"/>
                <c:pt idx="0">
                  <c:v>Total Revenue</c:v>
                </c:pt>
                <c:pt idx="1">
                  <c:v>AVG Orders</c:v>
                </c:pt>
                <c:pt idx="2">
                  <c:v>Cancellation Rate</c:v>
                </c:pt>
                <c:pt idx="3">
                  <c:v>Return Rate</c:v>
                </c:pt>
                <c:pt idx="4">
                  <c:v>Total Order Lost</c:v>
                </c:pt>
                <c:pt idx="5">
                  <c:v>Repeat Purchase Rate</c:v>
                </c:pt>
                <c:pt idx="6">
                  <c:v>Never-Ordered Customers</c:v>
                </c:pt>
              </c:strCache>
            </c:strRef>
          </c:cat>
          <c:val>
            <c:numRef>
              <c:f>'KPI Summary &amp; Key Finding'!$D$5:$D$11</c:f>
              <c:numCache>
                <c:formatCode>"₹"\ #,##0</c:formatCode>
                <c:ptCount val="7"/>
                <c:pt idx="0" formatCode="&quot;₹&quot;\ #,##0.00">
                  <c:v>311111</c:v>
                </c:pt>
                <c:pt idx="1">
                  <c:v>447.64172661870504</c:v>
                </c:pt>
                <c:pt idx="2" formatCode="0.00%">
                  <c:v>0.10299999999999999</c:v>
                </c:pt>
                <c:pt idx="3" formatCode="0.00%">
                  <c:v>9.1999999999999998E-2</c:v>
                </c:pt>
                <c:pt idx="4" formatCode="0.00%">
                  <c:v>0.19500000000000001</c:v>
                </c:pt>
                <c:pt idx="5" formatCode="0.00%">
                  <c:v>0.82</c:v>
                </c:pt>
                <c:pt idx="6" formatCode="General">
                  <c:v>15</c:v>
                </c:pt>
              </c:numCache>
            </c:numRef>
          </c:val>
          <c:extLst>
            <c:ext xmlns:c16="http://schemas.microsoft.com/office/drawing/2014/chart" uri="{C3380CC4-5D6E-409C-BE32-E72D297353CC}">
              <c16:uniqueId val="{00000000-9C95-4CA4-824F-250A20D4ADF5}"/>
            </c:ext>
          </c:extLst>
        </c:ser>
        <c:dLbls>
          <c:showLegendKey val="0"/>
          <c:showVal val="0"/>
          <c:showCatName val="0"/>
          <c:showSerName val="0"/>
          <c:showPercent val="0"/>
          <c:showBubbleSize val="0"/>
        </c:dLbls>
        <c:gapWidth val="150"/>
        <c:gapDepth val="0"/>
        <c:shape val="box"/>
        <c:axId val="1252630336"/>
        <c:axId val="1305378224"/>
        <c:axId val="0"/>
      </c:bar3DChart>
      <c:catAx>
        <c:axId val="1252630336"/>
        <c:scaling>
          <c:orientation val="minMax"/>
        </c:scaling>
        <c:delete val="1"/>
        <c:axPos val="b"/>
        <c:numFmt formatCode="General" sourceLinked="1"/>
        <c:majorTickMark val="none"/>
        <c:minorTickMark val="none"/>
        <c:tickLblPos val="nextTo"/>
        <c:crossAx val="1305378224"/>
        <c:crosses val="autoZero"/>
        <c:auto val="1"/>
        <c:lblAlgn val="ctr"/>
        <c:lblOffset val="100"/>
        <c:noMultiLvlLbl val="0"/>
      </c:catAx>
      <c:valAx>
        <c:axId val="1305378224"/>
        <c:scaling>
          <c:orientation val="minMax"/>
        </c:scaling>
        <c:delete val="1"/>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crossAx val="1252630336"/>
        <c:crosses val="autoZero"/>
        <c:crossBetween val="between"/>
      </c:valAx>
      <c:dTable>
        <c:showHorzBorder val="1"/>
        <c:showVertBorder val="1"/>
        <c:showOutline val="1"/>
        <c:showKeys val="0"/>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708660</xdr:colOff>
      <xdr:row>0</xdr:row>
      <xdr:rowOff>106680</xdr:rowOff>
    </xdr:from>
    <xdr:to>
      <xdr:col>16</xdr:col>
      <xdr:colOff>106680</xdr:colOff>
      <xdr:row>19</xdr:row>
      <xdr:rowOff>30480</xdr:rowOff>
    </xdr:to>
    <xdr:graphicFrame macro="">
      <xdr:nvGraphicFramePr>
        <xdr:cNvPr id="2" name="Chart 1">
          <a:extLst>
            <a:ext uri="{FF2B5EF4-FFF2-40B4-BE49-F238E27FC236}">
              <a16:creationId xmlns:a16="http://schemas.microsoft.com/office/drawing/2014/main" id="{52182BC4-5C5D-8765-F203-37E2482CB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342900</xdr:colOff>
      <xdr:row>10</xdr:row>
      <xdr:rowOff>106681</xdr:rowOff>
    </xdr:from>
    <xdr:to>
      <xdr:col>20</xdr:col>
      <xdr:colOff>358140</xdr:colOff>
      <xdr:row>20</xdr:row>
      <xdr:rowOff>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CE2954A-48E6-C5A3-8BC0-B96F7F9BFE9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330940" y="1935481"/>
              <a:ext cx="184404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1</xdr:row>
      <xdr:rowOff>38101</xdr:rowOff>
    </xdr:from>
    <xdr:to>
      <xdr:col>20</xdr:col>
      <xdr:colOff>304800</xdr:colOff>
      <xdr:row>9</xdr:row>
      <xdr:rowOff>137161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0E97290-E4CF-1D19-91BE-A6DBEB7473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85220" y="220981"/>
              <a:ext cx="183642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68580</xdr:colOff>
      <xdr:row>1</xdr:row>
      <xdr:rowOff>160020</xdr:rowOff>
    </xdr:from>
    <xdr:to>
      <xdr:col>17</xdr:col>
      <xdr:colOff>525780</xdr:colOff>
      <xdr:row>22</xdr:row>
      <xdr:rowOff>30480</xdr:rowOff>
    </xdr:to>
    <xdr:graphicFrame macro="">
      <xdr:nvGraphicFramePr>
        <xdr:cNvPr id="2" name="Chart 1">
          <a:extLst>
            <a:ext uri="{FF2B5EF4-FFF2-40B4-BE49-F238E27FC236}">
              <a16:creationId xmlns:a16="http://schemas.microsoft.com/office/drawing/2014/main" id="{B4120763-690F-7AF6-68A8-1BEA8812D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274320</xdr:colOff>
      <xdr:row>4</xdr:row>
      <xdr:rowOff>7620</xdr:rowOff>
    </xdr:from>
    <xdr:to>
      <xdr:col>7</xdr:col>
      <xdr:colOff>274320</xdr:colOff>
      <xdr:row>11</xdr:row>
      <xdr:rowOff>22861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A7917A62-E042-9176-80B9-66CDE9CBF15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901440" y="739140"/>
              <a:ext cx="1828800" cy="1295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624840</xdr:colOff>
      <xdr:row>5</xdr:row>
      <xdr:rowOff>91440</xdr:rowOff>
    </xdr:from>
    <xdr:to>
      <xdr:col>16</xdr:col>
      <xdr:colOff>7620</xdr:colOff>
      <xdr:row>23</xdr:row>
      <xdr:rowOff>68580</xdr:rowOff>
    </xdr:to>
    <xdr:graphicFrame macro="">
      <xdr:nvGraphicFramePr>
        <xdr:cNvPr id="3" name="Chart 2">
          <a:extLst>
            <a:ext uri="{FF2B5EF4-FFF2-40B4-BE49-F238E27FC236}">
              <a16:creationId xmlns:a16="http://schemas.microsoft.com/office/drawing/2014/main" id="{C75A86AA-9097-CFD4-ACD9-3118F008C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12</xdr:row>
      <xdr:rowOff>49530</xdr:rowOff>
    </xdr:from>
    <xdr:to>
      <xdr:col>12</xdr:col>
      <xdr:colOff>495300</xdr:colOff>
      <xdr:row>33</xdr:row>
      <xdr:rowOff>144780</xdr:rowOff>
    </xdr:to>
    <xdr:graphicFrame macro="">
      <xdr:nvGraphicFramePr>
        <xdr:cNvPr id="2" name="Chart 1">
          <a:extLst>
            <a:ext uri="{FF2B5EF4-FFF2-40B4-BE49-F238E27FC236}">
              <a16:creationId xmlns:a16="http://schemas.microsoft.com/office/drawing/2014/main" id="{6B62CEA6-49C4-DA3C-37B7-5EAEC33B8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541020</xdr:colOff>
      <xdr:row>12</xdr:row>
      <xdr:rowOff>19050</xdr:rowOff>
    </xdr:from>
    <xdr:to>
      <xdr:col>9</xdr:col>
      <xdr:colOff>518160</xdr:colOff>
      <xdr:row>27</xdr:row>
      <xdr:rowOff>19050</xdr:rowOff>
    </xdr:to>
    <xdr:graphicFrame macro="">
      <xdr:nvGraphicFramePr>
        <xdr:cNvPr id="4" name="Chart 3">
          <a:extLst>
            <a:ext uri="{FF2B5EF4-FFF2-40B4-BE49-F238E27FC236}">
              <a16:creationId xmlns:a16="http://schemas.microsoft.com/office/drawing/2014/main" id="{20A285ED-FADC-CD31-4923-048E442ED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5.945136805552" backgroundQuery="1" createdVersion="8" refreshedVersion="8" minRefreshableVersion="3" recordCount="0" supportSubquery="1" supportAdvancedDrill="1" xr:uid="{C9208753-873A-4E61-96F1-7687B7F427BF}">
  <cacheSource type="external" connectionId="6"/>
  <cacheFields count="1">
    <cacheField name="[Measures].[Distinct Count of order_id]" caption="Distinct Count of order_id" numFmtId="0" hierarchy="33" level="32767"/>
  </cacheFields>
  <cacheHierarchies count="3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0" memberValueDatatype="130"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20" unbalanced="0"/>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order_id 2]" caption="Distinct 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ales_cleaned" uniqueName="[sales_cleaned]" caption="sales_cleaned"/>
  </dimensions>
  <measureGroups count="5">
    <measureGroup name="customers" caption="customers"/>
    <measureGroup name="order_items" caption="order_items"/>
    <measureGroup name="orders" caption="orders"/>
    <measureGroup name="products" caption="products"/>
    <measureGroup name="sales_cleaned" caption="sales_cleaned"/>
  </measureGroups>
  <maps count="11">
    <map measureGroup="0" dimension="0"/>
    <map measureGroup="1" dimension="0"/>
    <map measureGroup="1" dimension="2"/>
    <map measureGroup="1" dimension="3"/>
    <map measureGroup="1" dimension="4"/>
    <map measureGroup="2" dimension="0"/>
    <map measureGroup="2" dimension="3"/>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5.968705555555" backgroundQuery="1" createdVersion="8" refreshedVersion="8" minRefreshableVersion="3" recordCount="0" supportSubquery="1" supportAdvancedDrill="1" xr:uid="{50ECFF05-34E3-4CE7-9B06-B0ED6C8E3E85}">
  <cacheSource type="external" connectionId="6"/>
  <cacheFields count="5">
    <cacheField name="[Measures].[Sum of Revenue]" caption="Sum of Revenue" numFmtId="0" hierarchy="30" level="32767"/>
    <cacheField name="[sales_cleaned].[month].[month]" caption="month" numFmtId="0" hierarchy="2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cleaned].[month].&amp;[1]"/>
            <x15:cachedUniqueName index="1" name="[sales_cleaned].[month].&amp;[2]"/>
            <x15:cachedUniqueName index="2" name="[sales_cleaned].[month].&amp;[3]"/>
            <x15:cachedUniqueName index="3" name="[sales_cleaned].[month].&amp;[4]"/>
            <x15:cachedUniqueName index="4" name="[sales_cleaned].[month].&amp;[5]"/>
            <x15:cachedUniqueName index="5" name="[sales_cleaned].[month].&amp;[6]"/>
            <x15:cachedUniqueName index="6" name="[sales_cleaned].[month].&amp;[7]"/>
            <x15:cachedUniqueName index="7" name="[sales_cleaned].[month].&amp;[8]"/>
            <x15:cachedUniqueName index="8" name="[sales_cleaned].[month].&amp;[9]"/>
            <x15:cachedUniqueName index="9" name="[sales_cleaned].[month].&amp;[10]"/>
            <x15:cachedUniqueName index="10" name="[sales_cleaned].[month].&amp;[11]"/>
            <x15:cachedUniqueName index="11" name="[sales_cleaned].[month].&amp;[12]"/>
          </x15:cachedUniqueNames>
        </ext>
      </extLst>
    </cacheField>
    <cacheField name="[sales_cleaned].[year].[year]" caption="year" numFmtId="0" hierarchy="2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sales_cleaned].[year].&amp;[2024]"/>
          </x15:cachedUniqueNames>
        </ext>
      </extLst>
    </cacheField>
    <cacheField name="[products].[category].[category]" caption="category" numFmtId="0" hierarchy="13" level="1">
      <sharedItems count="4">
        <s v="Body"/>
        <s v="Hair"/>
        <s v="Makeup"/>
        <s v="Skin"/>
      </sharedItems>
    </cacheField>
    <cacheField name="[orders].[status].[status]" caption="status" numFmtId="0" hierarchy="10" level="1">
      <sharedItems containsSemiMixedTypes="0" containsNonDate="0" containsString="0"/>
    </cacheField>
  </cacheFields>
  <cacheHierarchies count="3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0" memberValueDatatype="130" unbalanced="0"/>
    <cacheHierarchy uniqueName="[sales_cleaned].[year]" caption="year" attribute="1" defaultMemberUniqueName="[sales_cleaned].[year].[All]" allUniqueName="[sales_cleaned].[year].[All]" dimensionUniqueName="[sales_cleaned]" displayFolder="" count="2" memberValueDatatype="20" unbalanced="0">
      <fieldsUsage count="2">
        <fieldUsage x="-1"/>
        <fieldUsage x="2"/>
      </fieldsUsage>
    </cacheHierarchy>
    <cacheHierarchy uniqueName="[sales_cleaned].[month]" caption="month" attribute="1" defaultMemberUniqueName="[sales_cleaned].[month].[All]" allUniqueName="[sales_cleaned].[month].[All]" dimensionUniqueName="[sales_cleaned]" displayFolder="" count="2" memberValueDatatype="20" unbalanced="0">
      <fieldsUsage count="2">
        <fieldUsage x="-1"/>
        <fieldUsage x="1"/>
      </fieldsUsage>
    </cacheHierarchy>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2]" caption="Distinct 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ales_cleaned" uniqueName="[sales_cleaned]" caption="sales_cleaned"/>
  </dimensions>
  <measureGroups count="5">
    <measureGroup name="customers" caption="customers"/>
    <measureGroup name="order_items" caption="order_items"/>
    <measureGroup name="orders" caption="orders"/>
    <measureGroup name="products" caption="products"/>
    <measureGroup name="sales_cleaned" caption="sales_cleaned"/>
  </measureGroups>
  <maps count="11">
    <map measureGroup="0" dimension="0"/>
    <map measureGroup="1" dimension="0"/>
    <map measureGroup="1" dimension="2"/>
    <map measureGroup="1" dimension="3"/>
    <map measureGroup="1" dimension="4"/>
    <map measureGroup="2" dimension="0"/>
    <map measureGroup="2" dimension="3"/>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5.973635648152" backgroundQuery="1" createdVersion="8" refreshedVersion="8" minRefreshableVersion="3" recordCount="0" supportSubquery="1" supportAdvancedDrill="1" xr:uid="{6A8E9B56-DBBD-416E-9332-831E0192F75C}">
  <cacheSource type="external" connectionId="6"/>
  <cacheFields count="3">
    <cacheField name="[customers].[country].[country]" caption="country" numFmtId="0" hierarchy="1" level="1">
      <sharedItems count="5">
        <s v="France"/>
        <s v="Germany"/>
        <s v="Italy"/>
        <s v="Morocco"/>
        <s v="Spain"/>
      </sharedItems>
    </cacheField>
    <cacheField name="[orders].[status].[status]" caption="status" numFmtId="0" hierarchy="10" level="1">
      <sharedItems count="3">
        <s v="Cancelled"/>
        <s v="Completed"/>
        <s v="Returned"/>
      </sharedItems>
    </cacheField>
    <cacheField name="[Measures].[Distinct Count of order_id 2]" caption="Distinct Count of order_id 2" numFmtId="0" hierarchy="34" level="32767"/>
  </cacheFields>
  <cacheHierarchies count="3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0" memberValueDatatype="130"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20" unbalanced="0"/>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2]" caption="Distinct Count of order_id 2"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ales_cleaned" uniqueName="[sales_cleaned]" caption="sales_cleaned"/>
  </dimensions>
  <measureGroups count="5">
    <measureGroup name="customers" caption="customers"/>
    <measureGroup name="order_items" caption="order_items"/>
    <measureGroup name="orders" caption="orders"/>
    <measureGroup name="products" caption="products"/>
    <measureGroup name="sales_cleaned" caption="sales_cleaned"/>
  </measureGroups>
  <maps count="11">
    <map measureGroup="0" dimension="0"/>
    <map measureGroup="1" dimension="0"/>
    <map measureGroup="1" dimension="2"/>
    <map measureGroup="1" dimension="3"/>
    <map measureGroup="1" dimension="4"/>
    <map measureGroup="2" dimension="0"/>
    <map measureGroup="2" dimension="3"/>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6.074823958334" backgroundQuery="1" createdVersion="8" refreshedVersion="8" minRefreshableVersion="3" recordCount="0" supportSubquery="1" supportAdvancedDrill="1" xr:uid="{84E976BB-F2DB-44F2-BDA4-693880A82829}">
  <cacheSource type="external" connectionId="6"/>
  <cacheFields count="3">
    <cacheField name="[orders].[status].[status]" caption="status" numFmtId="0" hierarchy="10" level="1">
      <sharedItems count="3">
        <s v="Cancelled"/>
        <s v="Completed"/>
        <s v="Returned"/>
      </sharedItems>
    </cacheField>
    <cacheField name="[customers].[country].[country]" caption="country" numFmtId="0" hierarchy="1" level="1">
      <sharedItems count="5">
        <s v="France"/>
        <s v="Germany"/>
        <s v="Italy"/>
        <s v="Morocco"/>
        <s v="Spain"/>
      </sharedItems>
    </cacheField>
    <cacheField name="[Measures].[Distinct Count of order_id 2]" caption="Distinct Count of order_id 2" numFmtId="0" hierarchy="34" level="32767"/>
  </cacheFields>
  <cacheHierarchies count="3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0" memberValueDatatype="130"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20" unbalanced="0"/>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2]" caption="Distinct Count of order_id 2"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ales_cleaned" uniqueName="[sales_cleaned]" caption="sales_cleaned"/>
  </dimensions>
  <measureGroups count="5">
    <measureGroup name="customers" caption="customers"/>
    <measureGroup name="order_items" caption="order_items"/>
    <measureGroup name="orders" caption="orders"/>
    <measureGroup name="products" caption="products"/>
    <measureGroup name="sales_cleaned" caption="sales_cleaned"/>
  </measureGroups>
  <maps count="11">
    <map measureGroup="0" dimension="0"/>
    <map measureGroup="1" dimension="0"/>
    <map measureGroup="1" dimension="2"/>
    <map measureGroup="1" dimension="3"/>
    <map measureGroup="1" dimension="4"/>
    <map measureGroup="2" dimension="0"/>
    <map measureGroup="2" dimension="3"/>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6.107311458334" backgroundQuery="1" createdVersion="8" refreshedVersion="8" minRefreshableVersion="3" recordCount="0" supportSubquery="1" supportAdvancedDrill="1" xr:uid="{5E571400-4FF5-4B1C-BF2E-4706C9209164}">
  <cacheSource type="external" connectionId="6"/>
  <cacheFields count="2">
    <cacheField name="[customers].[customer_id].[customer_id]" caption="customer_id" numFmtId="0" level="1">
      <sharedItems containsSemiMixedTypes="0" containsString="0" containsNumber="1" containsInteger="1" minValue="13" maxValue="277" count="10">
        <n v="13"/>
        <n v="39"/>
        <n v="76"/>
        <n v="113"/>
        <n v="126"/>
        <n v="130"/>
        <n v="144"/>
        <n v="152"/>
        <n v="231"/>
        <n v="277"/>
      </sharedItems>
      <extLst>
        <ext xmlns:x15="http://schemas.microsoft.com/office/spreadsheetml/2010/11/main" uri="{4F2E5C28-24EA-4eb8-9CBF-B6C8F9C3D259}">
          <x15:cachedUniqueNames>
            <x15:cachedUniqueName index="0" name="[customers].[customer_id].&amp;[13]"/>
            <x15:cachedUniqueName index="1" name="[customers].[customer_id].&amp;[39]"/>
            <x15:cachedUniqueName index="2" name="[customers].[customer_id].&amp;[76]"/>
            <x15:cachedUniqueName index="3" name="[customers].[customer_id].&amp;[113]"/>
            <x15:cachedUniqueName index="4" name="[customers].[customer_id].&amp;[126]"/>
            <x15:cachedUniqueName index="5" name="[customers].[customer_id].&amp;[130]"/>
            <x15:cachedUniqueName index="6" name="[customers].[customer_id].&amp;[144]"/>
            <x15:cachedUniqueName index="7" name="[customers].[customer_id].&amp;[152]"/>
            <x15:cachedUniqueName index="8" name="[customers].[customer_id].&amp;[231]"/>
            <x15:cachedUniqueName index="9" name="[customers].[customer_id].&amp;[277]"/>
          </x15:cachedUniqueNames>
        </ext>
      </extLst>
    </cacheField>
    <cacheField name="[Measures].[Sum of Revenue]" caption="Sum of Revenue" numFmtId="0" hierarchy="30" level="32767"/>
  </cacheFields>
  <cacheHierarchies count="36">
    <cacheHierarchy uniqueName="[customers].[customer_id]" caption="customer_id" attribute="1" defaultMemberUniqueName="[customers].[customer_id].[All]" allUniqueName="[customers].[customer_id].[All]" dimensionUniqueName="[customers]" displayFolder="" count="2" memberValueDatatype="2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0" memberValueDatatype="130"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20" unbalanced="0"/>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2]" caption="Distinct 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 name="sales_cleaned" uniqueName="[sales_cleaned]" caption="sales_cleaned"/>
  </dimensions>
  <measureGroups count="5">
    <measureGroup name="customers" caption="customers"/>
    <measureGroup name="order_items" caption="order_items"/>
    <measureGroup name="orders" caption="orders"/>
    <measureGroup name="products" caption="products"/>
    <measureGroup name="sales_cleaned" caption="sales_cleaned"/>
  </measureGroups>
  <maps count="11">
    <map measureGroup="0" dimension="0"/>
    <map measureGroup="1" dimension="0"/>
    <map measureGroup="1" dimension="2"/>
    <map measureGroup="1" dimension="3"/>
    <map measureGroup="1" dimension="4"/>
    <map measureGroup="2" dimension="0"/>
    <map measureGroup="2" dimension="3"/>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6215.966112037037" backgroundQuery="1" createdVersion="3" refreshedVersion="8" minRefreshableVersion="3" recordCount="0" supportSubquery="1" supportAdvancedDrill="1" xr:uid="{73A94340-2217-4B72-9D1D-F418F2885B48}">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price]" caption="price" attribute="1" defaultMemberUniqueName="[order_items].[price].[All]" allUniqueName="[order_items].[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_cleaned].[order_id]" caption="order_id" attribute="1" defaultMemberUniqueName="[sales_cleaned].[order_id].[All]" allUniqueName="[sales_cleaned].[order_id].[All]" dimensionUniqueName="[sales_cleaned]" displayFolder="" count="0" memberValueDatatype="20" unbalanced="0"/>
    <cacheHierarchy uniqueName="[sales_cleaned].[product_id]" caption="product_id" attribute="1" defaultMemberUniqueName="[sales_cleaned].[product_id].[All]" allUniqueName="[sales_cleaned].[product_id].[All]" dimensionUniqueName="[sales_cleaned]" displayFolder="" count="0" memberValueDatatype="2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price]" caption="price" attribute="1" defaultMemberUniqueName="[sales_cleaned].[price].[All]" allUniqueName="[sales_cleaned].[price].[All]" dimensionUniqueName="[sales_cleaned]" displayFolder="" count="0" memberValueDatatype="20" unbalanced="0"/>
    <cacheHierarchy uniqueName="[sales_cleaned].[Revenue]" caption="Revenue" attribute="1" defaultMemberUniqueName="[sales_cleaned].[Revenue].[All]" allUniqueName="[sales_cleaned].[Revenue].[All]" dimensionUniqueName="[sales_cleaned]" displayFolder="" count="0" memberValueDatatype="20" unbalanced="0"/>
    <cacheHierarchy uniqueName="[sales_cleaned].[customer_id]" caption="customer_id" attribute="1" defaultMemberUniqueName="[sales_cleaned].[customer_id].[All]" allUniqueName="[sales_cleaned].[customer_id].[All]" dimensionUniqueName="[sales_cleaned]" displayFolder="" count="0" memberValueDatatype="20" unbalanced="0"/>
    <cacheHierarchy uniqueName="[sales_cleaned].[order_date]" caption="order_date" attribute="1" time="1" defaultMemberUniqueName="[sales_cleaned].[order_date].[All]" allUniqueName="[sales_cleaned].[order_date].[All]" dimensionUniqueName="[sales_cleaned]" displayFolder="" count="0" memberValueDatatype="7" unbalanced="0"/>
    <cacheHierarchy uniqueName="[sales_cleaned].[status]" caption="status" attribute="1" defaultMemberUniqueName="[sales_cleaned].[status].[All]" allUniqueName="[sales_cleaned].[status].[All]" dimensionUniqueName="[sales_cleaned]" displayFolder="" count="2" memberValueDatatype="130"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20" unbalanced="0"/>
    <cacheHierarchy uniqueName="[Measures].[__XL_Count sales_cleaned]" caption="__XL_Count sales_cleaned" measure="1" displayFolder="" measureGroup="sales_cleaned"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_items]" caption="__XL_Count order_items" measure="1" displayFolder="" measureGroup="order_items" count="0" hidden="1"/>
    <cacheHierarchy uniqueName="[Measures].[__No measures defined]" caption="__No measures defined" measure="1" displayFolder="" count="0" hidden="1"/>
    <cacheHierarchy uniqueName="[Measures].[Sum of Revenue]" caption="Sum of Revenue" measure="1" displayFolder="" measureGroup="sales_cleaned"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sales_cleaned" count="0" hidden="1">
      <extLst>
        <ext xmlns:x15="http://schemas.microsoft.com/office/spreadsheetml/2010/11/main" uri="{B97F6D7D-B522-45F9-BDA1-12C45D357490}">
          <x15:cacheHierarchy aggregatedColumn="14"/>
        </ext>
      </extLst>
    </cacheHierarchy>
    <cacheHierarchy uniqueName="[Measures].[Distinct Count of order_id]" caption="Distinct Count of order_id" measure="1" displayFolder="" measureGroup="sales_cleaned"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710584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D349C-75D2-453C-8882-0F6CD0FCA2DD}"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1">
    <pivotField dataField="1" subtotalTop="0" showAll="0" defaultSubtotal="0"/>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 . E Commerce Sales and Customer Analytics.xlsx!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7EF87-11F1-40F4-BDA1-1A0A171AD082}" name="PivotTable2" cacheId="19" applyNumberFormats="0" applyBorderFormats="0" applyFontFormats="0" applyPatternFormats="0" applyAlignmentFormats="0" applyWidthHeightFormats="1" dataCaption="Values" tag="2bfff0a8-5f6f-4e9a-bb2c-c55ccebe577c" updatedVersion="8" minRefreshableVersion="3" useAutoFormatting="1" itemPrintTitles="1" createdVersion="8" indent="0" outline="1" outlineData="1" multipleFieldFilters="0" chartFormat="3">
  <location ref="A3:F18" firstHeaderRow="1" firstDataRow="2"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14">
    <i>
      <x/>
    </i>
    <i r="1">
      <x/>
    </i>
    <i r="1">
      <x v="1"/>
    </i>
    <i r="1">
      <x v="2"/>
    </i>
    <i r="1">
      <x v="3"/>
    </i>
    <i r="1">
      <x v="4"/>
    </i>
    <i r="1">
      <x v="5"/>
    </i>
    <i r="1">
      <x v="6"/>
    </i>
    <i r="1">
      <x v="7"/>
    </i>
    <i r="1">
      <x v="8"/>
    </i>
    <i r="1">
      <x v="9"/>
    </i>
    <i r="1">
      <x v="10"/>
    </i>
    <i r="1">
      <x v="11"/>
    </i>
    <i t="grand">
      <x/>
    </i>
  </rowItems>
  <colFields count="1">
    <field x="3"/>
  </colFields>
  <colItems count="5">
    <i>
      <x/>
    </i>
    <i>
      <x v="1"/>
    </i>
    <i>
      <x v="2"/>
    </i>
    <i>
      <x v="3"/>
    </i>
    <i t="grand">
      <x/>
    </i>
  </colItems>
  <dataFields count="1">
    <dataField name="Sum of Revenue" fld="0"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3"/>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cleaned]"/>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E562E-E9FD-4252-931E-46430007FC5C}" name="PivotTable6"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24" firstHeaderRow="1" firstDataRow="1" firstDataCol="1"/>
  <pivotFields count="3">
    <pivotField axis="axisRow" allDrilled="1" showAll="0" dataSourceSort="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Distinct Count of order_id" fld="2"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F5450F-3B77-4CFE-B241-CE141D57A2E8}" name="PivotTable7"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cleaned]"/>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FBB14-3DE2-43E6-8850-E2291B4C2DDD}" name="PivotTable4" cacheId="7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10" firstHeaderRow="1" firstDataRow="2" firstDataCol="1"/>
  <pivotFields count="3">
    <pivotField axis="axisCol" allDrilled="1" showAll="0" dataSourceSort="1" defaultAttributeDrillState="1">
      <items count="4">
        <item x="0"/>
        <item x="1"/>
        <item x="2"/>
        <item t="default"/>
      </items>
    </pivotField>
    <pivotField axis="axisRow" allDrilled="1" showAll="0" dataSourceSort="1" defaultAttributeDrillState="1">
      <items count="6">
        <item x="0"/>
        <item x="1"/>
        <item x="2"/>
        <item x="3"/>
        <item x="4"/>
        <item t="default"/>
      </items>
    </pivotField>
    <pivotField dataField="1" subtotalTop="0" showAll="0" defaultSubtotal="0"/>
  </pivotFields>
  <rowFields count="1">
    <field x="1"/>
  </rowFields>
  <rowItems count="6">
    <i>
      <x/>
    </i>
    <i>
      <x v="1"/>
    </i>
    <i>
      <x v="2"/>
    </i>
    <i>
      <x v="3"/>
    </i>
    <i>
      <x v="4"/>
    </i>
    <i t="grand">
      <x/>
    </i>
  </rowItems>
  <colFields count="1">
    <field x="0"/>
  </colFields>
  <colItems count="4">
    <i>
      <x/>
    </i>
    <i>
      <x v="1"/>
    </i>
    <i>
      <x v="2"/>
    </i>
    <i t="grand">
      <x/>
    </i>
  </colItems>
  <dataFields count="1">
    <dataField name="Distinct Count of order_id" fld="2" subtotal="count" baseField="1" baseItem="0">
      <extLst>
        <ext xmlns:x15="http://schemas.microsoft.com/office/spreadsheetml/2010/11/main" uri="{FABC7310-3BB5-11E1-824E-6D434824019B}">
          <x15:dataField isCountDistinct="1"/>
        </ext>
      </extLst>
    </dataField>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70FEBD-EAC1-4924-83A3-D9F64D86D3C9}" autoFormatId="16" applyNumberFormats="0" applyBorderFormats="0" applyFontFormats="0" applyPatternFormats="0" applyAlignmentFormats="0" applyWidthHeightFormats="0">
  <queryTableRefresh nextId="4">
    <queryTableFields count="3">
      <queryTableField id="1" name="customer_id" tableColumnId="1"/>
      <queryTableField id="2" name="country" tableColumnId="2"/>
      <queryTableField id="3" name="signup_dat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0A4B51F-7561-4F85-9823-BCDC483D6AFA}" autoFormatId="16" applyNumberFormats="0" applyBorderFormats="0" applyFontFormats="0" applyPatternFormats="0" applyAlignmentFormats="0" applyWidthHeightFormats="0">
  <queryTableRefresh nextId="5">
    <queryTableFields count="4">
      <queryTableField id="1" name="order_id" tableColumnId="1"/>
      <queryTableField id="2" name="customer_id" tableColumnId="2"/>
      <queryTableField id="3" name="order_date" tableColumnId="3"/>
      <queryTableField id="4" name="statu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8C3A850-7FAE-4F7B-A8EC-E49B9B16AED6}" autoFormatId="16" applyNumberFormats="0" applyBorderFormats="0" applyFontFormats="0" applyPatternFormats="0" applyAlignmentFormats="0" applyWidthHeightFormats="0">
  <queryTableRefresh nextId="6">
    <queryTableFields count="4">
      <queryTableField id="1" name="order_id" tableColumnId="1"/>
      <queryTableField id="2" name="product_id" tableColumnId="2"/>
      <queryTableField id="3" name="quantity" tableColumnId="3"/>
      <queryTableField id="4" name="pric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06A56C06-7C40-4C06-B03B-F2C9B4435C22}" autoFormatId="16" applyNumberFormats="0" applyBorderFormats="0" applyFontFormats="0" applyPatternFormats="0" applyAlignmentFormats="0" applyWidthHeightFormats="0">
  <queryTableRefresh nextId="4">
    <queryTableFields count="3">
      <queryTableField id="1" name="product_id" tableColumnId="1"/>
      <queryTableField id="2" name="product_name" tableColumnId="2"/>
      <queryTableField id="3" name="category"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717B341-A5C3-4A43-8755-AEFEB436E8C7}" autoFormatId="16" applyNumberFormats="0" applyBorderFormats="0" applyFontFormats="0" applyPatternFormats="0" applyAlignmentFormats="0" applyWidthHeightFormats="0">
  <queryTableRefresh nextId="11">
    <queryTableFields count="10">
      <queryTableField id="1" name="order_id" tableColumnId="1"/>
      <queryTableField id="2" name="product_id" tableColumnId="2"/>
      <queryTableField id="3" name="quantity" tableColumnId="3"/>
      <queryTableField id="4" name="price" tableColumnId="4"/>
      <queryTableField id="5" name="Revenue" tableColumnId="5"/>
      <queryTableField id="6" name="customer_id" tableColumnId="6"/>
      <queryTableField id="7" name="order_date" tableColumnId="7"/>
      <queryTableField id="8" name="status" tableColumnId="8"/>
      <queryTableField id="9" name="year"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AB9EDB-3DEF-4947-98BA-61A4C2D9F9C8}" sourceName="[customers].[country]">
  <pivotTables>
    <pivotTable tabId="8" name="PivotTable2"/>
    <pivotTable tabId="11" name="PivotTable6"/>
  </pivotTables>
  <data>
    <olap pivotCacheId="371058417">
      <levels count="2">
        <level uniqueName="[customers].[country].[(All)]" sourceCaption="(All)" count="0"/>
        <level uniqueName="[customers].[country].[country]" sourceCaption="country" count="5">
          <ranges>
            <range startItem="0">
              <i n="[customers].[country].&amp;[France]" c="France"/>
              <i n="[customers].[country].&amp;[Germany]" c="Germany"/>
              <i n="[customers].[country].&amp;[Italy]" c="Italy"/>
              <i n="[customers].[country].&amp;[Morocco]" c="Morocco"/>
              <i n="[customers].[country].&amp;[Spain]" c="Spain"/>
            </range>
          </ranges>
        </level>
      </levels>
      <selections count="1">
        <selection n="[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78CECE-0409-43B3-AF26-E849BA49F9BF}" sourceName="[products].[category]">
  <pivotTables>
    <pivotTable tabId="8" name="PivotTable2"/>
  </pivotTables>
  <data>
    <olap pivotCacheId="371058417">
      <levels count="2">
        <level uniqueName="[products].[category].[(All)]" sourceCaption="(All)" count="0"/>
        <level uniqueName="[products].[category].[category]" sourceCaption="category" count="4">
          <ranges>
            <range startItem="0">
              <i n="[products].[category].&amp;[Body]" c="Body"/>
              <i n="[products].[category].&amp;[Hair]" c="Hair"/>
              <i n="[products].[category].&amp;[Makeup]" c="Makeup"/>
              <i n="[products].[category].&amp;[Skin]" c="Skin"/>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A79D2F3-B268-46F8-A02F-B26C21B93787}" sourceName="[orders].[status]">
  <pivotTables>
    <pivotTable tabId="11" name="PivotTable6"/>
    <pivotTable tabId="8" name="PivotTable2"/>
  </pivotTables>
  <data>
    <olap pivotCacheId="371058417">
      <levels count="2">
        <level uniqueName="[orders].[status].[(All)]" sourceCaption="(All)" count="0"/>
        <level uniqueName="[orders].[status].[status]" sourceCaption="status" count="3">
          <ranges>
            <range startItem="0">
              <i n="[orders].[status].&amp;[Cancelled]" c="Cancelled"/>
              <i n="[orders].[status].&amp;[Completed]" c="Completed"/>
              <i n="[orders].[status].&amp;[Returned]" c="Returned"/>
            </range>
          </ranges>
        </level>
      </levels>
      <selections count="1">
        <selection n="[order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9EF4D04-43B2-43E3-B221-0BCE5A47CEBD}" cache="Slicer_country" caption="country" level="1" rowHeight="247650"/>
  <slicer name="category" xr10:uid="{A329B367-FBC3-4A37-90B2-7AAFEDA9AC2A}"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A7ACBC2-5706-43DA-BD60-C8B83295CDB6}" cache="Slicer_status" caption="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FFD960-5DDD-48F9-9E4C-AB270CB86DA6}" name="customers" displayName="customers" ref="A1:C301" tableType="queryTable" totalsRowShown="0">
  <autoFilter ref="A1:C301" xr:uid="{A5FFD960-5DDD-48F9-9E4C-AB270CB86DA6}"/>
  <tableColumns count="3">
    <tableColumn id="1" xr3:uid="{76E8B587-0EF2-456D-A1C3-929875F1F320}" uniqueName="1" name="customer_id" queryTableFieldId="1"/>
    <tableColumn id="2" xr3:uid="{A4D76518-F65C-44C6-8D4D-4F0C9E10A519}" uniqueName="2" name="country" queryTableFieldId="2" dataDxfId="9"/>
    <tableColumn id="3" xr3:uid="{715A0502-3EF6-4556-AF26-0F81C432957E}" uniqueName="3" name="signup_date" queryTableFieldId="3"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12600F-2F16-4CC9-8416-F6D2277F89D5}" name="orders" displayName="orders" ref="A1:D1001" tableType="queryTable" totalsRowShown="0">
  <autoFilter ref="A1:D1001" xr:uid="{5C12600F-2F16-4CC9-8416-F6D2277F89D5}"/>
  <tableColumns count="4">
    <tableColumn id="1" xr3:uid="{A355158C-ACC6-4557-9420-68AA85DB6632}" uniqueName="1" name="order_id" queryTableFieldId="1"/>
    <tableColumn id="2" xr3:uid="{A74295FC-6D0B-44E2-AD91-4F42A2F05B78}" uniqueName="2" name="customer_id" queryTableFieldId="2"/>
    <tableColumn id="3" xr3:uid="{B86ED165-BEF9-456F-B1F4-AF0BA9DE9B74}" uniqueName="3" name="order_date" queryTableFieldId="3" dataDxfId="7"/>
    <tableColumn id="4" xr3:uid="{B7912D49-E4CD-48AC-8E13-E1CC4AC2502D}" uniqueName="4" name="status" queryTableFieldId="4"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A8C866-A779-4BA6-BACA-213C5190172C}" name="order_items" displayName="order_items" ref="A1:D2001" tableType="queryTable" totalsRowShown="0">
  <autoFilter ref="A1:D2001" xr:uid="{11A8C866-A779-4BA6-BACA-213C5190172C}"/>
  <tableColumns count="4">
    <tableColumn id="1" xr3:uid="{A3161980-EDB9-4B1A-9DB7-7361B3CEAA73}" uniqueName="1" name="order_id" queryTableFieldId="1"/>
    <tableColumn id="2" xr3:uid="{4123B435-7558-4C82-9C14-9DB414D8BBE0}" uniqueName="2" name="product_id" queryTableFieldId="2"/>
    <tableColumn id="3" xr3:uid="{5CB0412C-2398-4424-B831-7D0A278CBFF2}" uniqueName="3" name="quantity" queryTableFieldId="3"/>
    <tableColumn id="4" xr3:uid="{153F2DCE-7327-4CA7-9759-CCA3111245F3}" uniqueName="4" name="pric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ECB463-E9D5-4D30-9DBA-80CAC0D1C060}" name="products" displayName="products" ref="A1:C51" tableType="queryTable" totalsRowShown="0">
  <autoFilter ref="A1:C51" xr:uid="{CCECB463-E9D5-4D30-9DBA-80CAC0D1C060}"/>
  <tableColumns count="3">
    <tableColumn id="1" xr3:uid="{A053C643-23E8-4908-8AF0-30801EDE3EE1}" uniqueName="1" name="product_id" queryTableFieldId="1"/>
    <tableColumn id="2" xr3:uid="{F1BD9F8F-FA2A-4D00-B9CE-15514423D305}" uniqueName="2" name="product_name" queryTableFieldId="2" dataDxfId="5"/>
    <tableColumn id="3" xr3:uid="{64877623-9E1F-4578-B4E8-EF081070D83A}" uniqueName="3" name="category" queryTableFieldId="3"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F8FFFD-B6B5-460E-B903-F6D69322D8CD}" name="sales_cleaned" displayName="sales_cleaned" ref="A1:J1626" tableType="queryTable" totalsRowShown="0">
  <autoFilter ref="A1:J1626" xr:uid="{A1F8FFFD-B6B5-460E-B903-F6D69322D8CD}"/>
  <tableColumns count="10">
    <tableColumn id="1" xr3:uid="{4AE7422E-771D-4475-A582-97A6A149A1A7}" uniqueName="1" name="order_id" queryTableFieldId="1"/>
    <tableColumn id="2" xr3:uid="{01887559-8F8F-461F-8566-0364D9CACFDE}" uniqueName="2" name="product_id" queryTableFieldId="2"/>
    <tableColumn id="3" xr3:uid="{8C6D3AEF-1004-431C-B1BE-25CDE0B69D2C}" uniqueName="3" name="quantity" queryTableFieldId="3"/>
    <tableColumn id="4" xr3:uid="{12DB92E0-01A1-4B7D-B518-8ACAA282B82B}" uniqueName="4" name="price" queryTableFieldId="4"/>
    <tableColumn id="5" xr3:uid="{F561CA52-B856-401F-B5ED-01910F5F8F01}" uniqueName="5" name="Revenue" queryTableFieldId="5"/>
    <tableColumn id="6" xr3:uid="{98AC661E-EBEA-49D4-BAA3-F47978A0BD7C}" uniqueName="6" name="customer_id" queryTableFieldId="6"/>
    <tableColumn id="7" xr3:uid="{241E8F7D-C46E-4B44-84F1-59F8E53B2455}" uniqueName="7" name="order_date" queryTableFieldId="7" dataDxfId="3"/>
    <tableColumn id="8" xr3:uid="{541AD411-E7CE-4B0B-9AAF-E635D2EB30BD}" uniqueName="8" name="status" queryTableFieldId="8" dataDxfId="2"/>
    <tableColumn id="9" xr3:uid="{864112B3-63B4-4804-9BD1-B5526AF97E05}" uniqueName="9" name="year" queryTableFieldId="9"/>
    <tableColumn id="10" xr3:uid="{86322D73-CEE3-4BDA-9B5B-5BE28E4CC13B}" uniqueName="10" name="month"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3A35-C7F1-4080-A763-19516DCEDF9F}">
  <dimension ref="A1:E301"/>
  <sheetViews>
    <sheetView workbookViewId="0">
      <selection activeCell="G14" sqref="G14"/>
    </sheetView>
  </sheetViews>
  <sheetFormatPr defaultRowHeight="14.4" x14ac:dyDescent="0.3"/>
  <cols>
    <col min="1" max="1" width="13.5546875" bestFit="1" customWidth="1"/>
    <col min="2" max="2" width="9.44140625" bestFit="1" customWidth="1"/>
    <col min="3" max="3" width="13.21875" bestFit="1" customWidth="1"/>
  </cols>
  <sheetData>
    <row r="1" spans="1:5" x14ac:dyDescent="0.3">
      <c r="A1" t="s">
        <v>0</v>
      </c>
      <c r="B1" t="s">
        <v>1</v>
      </c>
      <c r="C1" t="s">
        <v>2</v>
      </c>
    </row>
    <row r="2" spans="1:5" x14ac:dyDescent="0.3">
      <c r="A2">
        <v>1</v>
      </c>
      <c r="B2" t="s">
        <v>3</v>
      </c>
      <c r="C2" s="1">
        <v>45061</v>
      </c>
    </row>
    <row r="3" spans="1:5" x14ac:dyDescent="0.3">
      <c r="A3">
        <v>2</v>
      </c>
      <c r="B3" t="s">
        <v>4</v>
      </c>
      <c r="C3" s="1">
        <v>44967</v>
      </c>
    </row>
    <row r="4" spans="1:5" x14ac:dyDescent="0.3">
      <c r="A4">
        <v>3</v>
      </c>
      <c r="B4" t="s">
        <v>3</v>
      </c>
      <c r="C4" s="1">
        <v>45222</v>
      </c>
    </row>
    <row r="5" spans="1:5" x14ac:dyDescent="0.3">
      <c r="A5">
        <v>4</v>
      </c>
      <c r="B5" t="s">
        <v>5</v>
      </c>
      <c r="C5" s="1">
        <v>44929</v>
      </c>
    </row>
    <row r="6" spans="1:5" x14ac:dyDescent="0.3">
      <c r="A6">
        <v>5</v>
      </c>
      <c r="B6" t="s">
        <v>4</v>
      </c>
      <c r="C6" s="1">
        <v>45327</v>
      </c>
    </row>
    <row r="7" spans="1:5" x14ac:dyDescent="0.3">
      <c r="A7">
        <v>6</v>
      </c>
      <c r="B7" t="s">
        <v>4</v>
      </c>
      <c r="C7" s="1">
        <v>45120</v>
      </c>
    </row>
    <row r="8" spans="1:5" x14ac:dyDescent="0.3">
      <c r="A8">
        <v>7</v>
      </c>
      <c r="B8" t="s">
        <v>3</v>
      </c>
      <c r="C8" s="1">
        <v>45389</v>
      </c>
    </row>
    <row r="9" spans="1:5" x14ac:dyDescent="0.3">
      <c r="A9">
        <v>8</v>
      </c>
      <c r="B9" t="s">
        <v>5</v>
      </c>
      <c r="C9" s="1">
        <v>45036</v>
      </c>
    </row>
    <row r="10" spans="1:5" x14ac:dyDescent="0.3">
      <c r="A10">
        <v>9</v>
      </c>
      <c r="B10" t="s">
        <v>6</v>
      </c>
      <c r="C10" s="1">
        <v>45147</v>
      </c>
    </row>
    <row r="11" spans="1:5" x14ac:dyDescent="0.3">
      <c r="A11">
        <v>10</v>
      </c>
      <c r="B11" t="s">
        <v>4</v>
      </c>
      <c r="C11" s="1">
        <v>45296</v>
      </c>
    </row>
    <row r="12" spans="1:5" x14ac:dyDescent="0.3">
      <c r="A12">
        <v>11</v>
      </c>
      <c r="B12" t="s">
        <v>6</v>
      </c>
      <c r="C12" s="1">
        <v>45294</v>
      </c>
      <c r="E12">
        <f>COUNTBLANK(customers[#All])</f>
        <v>0</v>
      </c>
    </row>
    <row r="13" spans="1:5" x14ac:dyDescent="0.3">
      <c r="A13">
        <v>12</v>
      </c>
      <c r="B13" t="s">
        <v>5</v>
      </c>
      <c r="C13" s="1">
        <v>45362</v>
      </c>
    </row>
    <row r="14" spans="1:5" x14ac:dyDescent="0.3">
      <c r="A14">
        <v>13</v>
      </c>
      <c r="B14" t="s">
        <v>4</v>
      </c>
      <c r="C14" s="1">
        <v>45332</v>
      </c>
    </row>
    <row r="15" spans="1:5" x14ac:dyDescent="0.3">
      <c r="A15">
        <v>14</v>
      </c>
      <c r="B15" t="s">
        <v>4</v>
      </c>
      <c r="C15" s="1">
        <v>44930</v>
      </c>
    </row>
    <row r="16" spans="1:5" x14ac:dyDescent="0.3">
      <c r="A16">
        <v>15</v>
      </c>
      <c r="B16" t="s">
        <v>6</v>
      </c>
      <c r="C16" s="1">
        <v>45170</v>
      </c>
    </row>
    <row r="17" spans="1:3" x14ac:dyDescent="0.3">
      <c r="A17">
        <v>16</v>
      </c>
      <c r="B17" t="s">
        <v>7</v>
      </c>
      <c r="C17" s="1">
        <v>45316</v>
      </c>
    </row>
    <row r="18" spans="1:3" x14ac:dyDescent="0.3">
      <c r="A18">
        <v>17</v>
      </c>
      <c r="B18" t="s">
        <v>6</v>
      </c>
      <c r="C18" s="1">
        <v>45092</v>
      </c>
    </row>
    <row r="19" spans="1:3" x14ac:dyDescent="0.3">
      <c r="A19">
        <v>18</v>
      </c>
      <c r="B19" t="s">
        <v>6</v>
      </c>
      <c r="C19" s="1">
        <v>44952</v>
      </c>
    </row>
    <row r="20" spans="1:3" x14ac:dyDescent="0.3">
      <c r="A20">
        <v>19</v>
      </c>
      <c r="B20" t="s">
        <v>7</v>
      </c>
      <c r="C20" s="1">
        <v>45321</v>
      </c>
    </row>
    <row r="21" spans="1:3" x14ac:dyDescent="0.3">
      <c r="A21">
        <v>20</v>
      </c>
      <c r="B21" t="s">
        <v>5</v>
      </c>
      <c r="C21" s="1">
        <v>45400</v>
      </c>
    </row>
    <row r="22" spans="1:3" x14ac:dyDescent="0.3">
      <c r="A22">
        <v>21</v>
      </c>
      <c r="B22" t="s">
        <v>5</v>
      </c>
      <c r="C22" s="1">
        <v>44943</v>
      </c>
    </row>
    <row r="23" spans="1:3" x14ac:dyDescent="0.3">
      <c r="A23">
        <v>22</v>
      </c>
      <c r="B23" t="s">
        <v>4</v>
      </c>
      <c r="C23" s="1">
        <v>45142</v>
      </c>
    </row>
    <row r="24" spans="1:3" x14ac:dyDescent="0.3">
      <c r="A24">
        <v>23</v>
      </c>
      <c r="B24" t="s">
        <v>3</v>
      </c>
      <c r="C24" s="1">
        <v>45018</v>
      </c>
    </row>
    <row r="25" spans="1:3" x14ac:dyDescent="0.3">
      <c r="A25">
        <v>24</v>
      </c>
      <c r="B25" t="s">
        <v>3</v>
      </c>
      <c r="C25" s="1">
        <v>45409</v>
      </c>
    </row>
    <row r="26" spans="1:3" x14ac:dyDescent="0.3">
      <c r="A26">
        <v>25</v>
      </c>
      <c r="B26" t="s">
        <v>4</v>
      </c>
      <c r="C26" s="1">
        <v>44957</v>
      </c>
    </row>
    <row r="27" spans="1:3" x14ac:dyDescent="0.3">
      <c r="A27">
        <v>26</v>
      </c>
      <c r="B27" t="s">
        <v>3</v>
      </c>
      <c r="C27" s="1">
        <v>45131</v>
      </c>
    </row>
    <row r="28" spans="1:3" x14ac:dyDescent="0.3">
      <c r="A28">
        <v>27</v>
      </c>
      <c r="B28" t="s">
        <v>6</v>
      </c>
      <c r="C28" s="1">
        <v>45345</v>
      </c>
    </row>
    <row r="29" spans="1:3" x14ac:dyDescent="0.3">
      <c r="A29">
        <v>28</v>
      </c>
      <c r="B29" t="s">
        <v>6</v>
      </c>
      <c r="C29" s="1">
        <v>45326</v>
      </c>
    </row>
    <row r="30" spans="1:3" x14ac:dyDescent="0.3">
      <c r="A30">
        <v>29</v>
      </c>
      <c r="B30" t="s">
        <v>7</v>
      </c>
      <c r="C30" s="1">
        <v>45133</v>
      </c>
    </row>
    <row r="31" spans="1:3" x14ac:dyDescent="0.3">
      <c r="A31">
        <v>30</v>
      </c>
      <c r="B31" t="s">
        <v>7</v>
      </c>
      <c r="C31" s="1">
        <v>45033</v>
      </c>
    </row>
    <row r="32" spans="1:3" x14ac:dyDescent="0.3">
      <c r="A32">
        <v>31</v>
      </c>
      <c r="B32" t="s">
        <v>4</v>
      </c>
      <c r="C32" s="1">
        <v>45072</v>
      </c>
    </row>
    <row r="33" spans="1:3" x14ac:dyDescent="0.3">
      <c r="A33">
        <v>32</v>
      </c>
      <c r="B33" t="s">
        <v>4</v>
      </c>
      <c r="C33" s="1">
        <v>45293</v>
      </c>
    </row>
    <row r="34" spans="1:3" x14ac:dyDescent="0.3">
      <c r="A34">
        <v>33</v>
      </c>
      <c r="B34" t="s">
        <v>4</v>
      </c>
      <c r="C34" s="1">
        <v>45027</v>
      </c>
    </row>
    <row r="35" spans="1:3" x14ac:dyDescent="0.3">
      <c r="A35">
        <v>34</v>
      </c>
      <c r="B35" t="s">
        <v>6</v>
      </c>
      <c r="C35" s="1">
        <v>45294</v>
      </c>
    </row>
    <row r="36" spans="1:3" x14ac:dyDescent="0.3">
      <c r="A36">
        <v>35</v>
      </c>
      <c r="B36" t="s">
        <v>3</v>
      </c>
      <c r="C36" s="1">
        <v>45244</v>
      </c>
    </row>
    <row r="37" spans="1:3" x14ac:dyDescent="0.3">
      <c r="A37">
        <v>36</v>
      </c>
      <c r="B37" t="s">
        <v>4</v>
      </c>
      <c r="C37" s="1">
        <v>45294</v>
      </c>
    </row>
    <row r="38" spans="1:3" x14ac:dyDescent="0.3">
      <c r="A38">
        <v>37</v>
      </c>
      <c r="B38" t="s">
        <v>4</v>
      </c>
      <c r="C38" s="1">
        <v>45167</v>
      </c>
    </row>
    <row r="39" spans="1:3" x14ac:dyDescent="0.3">
      <c r="A39">
        <v>38</v>
      </c>
      <c r="B39" t="s">
        <v>6</v>
      </c>
      <c r="C39" s="1">
        <v>45415</v>
      </c>
    </row>
    <row r="40" spans="1:3" x14ac:dyDescent="0.3">
      <c r="A40">
        <v>39</v>
      </c>
      <c r="B40" t="s">
        <v>6</v>
      </c>
      <c r="C40" s="1">
        <v>45337</v>
      </c>
    </row>
    <row r="41" spans="1:3" x14ac:dyDescent="0.3">
      <c r="A41">
        <v>40</v>
      </c>
      <c r="B41" t="s">
        <v>6</v>
      </c>
      <c r="C41" s="1">
        <v>45173</v>
      </c>
    </row>
    <row r="42" spans="1:3" x14ac:dyDescent="0.3">
      <c r="A42">
        <v>41</v>
      </c>
      <c r="B42" t="s">
        <v>3</v>
      </c>
      <c r="C42" s="1">
        <v>45089</v>
      </c>
    </row>
    <row r="43" spans="1:3" x14ac:dyDescent="0.3">
      <c r="A43">
        <v>42</v>
      </c>
      <c r="B43" t="s">
        <v>4</v>
      </c>
      <c r="C43" s="1">
        <v>45298</v>
      </c>
    </row>
    <row r="44" spans="1:3" x14ac:dyDescent="0.3">
      <c r="A44">
        <v>43</v>
      </c>
      <c r="B44" t="s">
        <v>5</v>
      </c>
      <c r="C44" s="1">
        <v>45099</v>
      </c>
    </row>
    <row r="45" spans="1:3" x14ac:dyDescent="0.3">
      <c r="A45">
        <v>44</v>
      </c>
      <c r="B45" t="s">
        <v>5</v>
      </c>
      <c r="C45" s="1">
        <v>44961</v>
      </c>
    </row>
    <row r="46" spans="1:3" x14ac:dyDescent="0.3">
      <c r="A46">
        <v>45</v>
      </c>
      <c r="B46" t="s">
        <v>4</v>
      </c>
      <c r="C46" s="1">
        <v>45210</v>
      </c>
    </row>
    <row r="47" spans="1:3" x14ac:dyDescent="0.3">
      <c r="A47">
        <v>46</v>
      </c>
      <c r="B47" t="s">
        <v>4</v>
      </c>
      <c r="C47" s="1">
        <v>45285</v>
      </c>
    </row>
    <row r="48" spans="1:3" x14ac:dyDescent="0.3">
      <c r="A48">
        <v>47</v>
      </c>
      <c r="B48" t="s">
        <v>4</v>
      </c>
      <c r="C48" s="1">
        <v>45307</v>
      </c>
    </row>
    <row r="49" spans="1:3" x14ac:dyDescent="0.3">
      <c r="A49">
        <v>48</v>
      </c>
      <c r="B49" t="s">
        <v>4</v>
      </c>
      <c r="C49" s="1">
        <v>45284</v>
      </c>
    </row>
    <row r="50" spans="1:3" x14ac:dyDescent="0.3">
      <c r="A50">
        <v>49</v>
      </c>
      <c r="B50" t="s">
        <v>3</v>
      </c>
      <c r="C50" s="1">
        <v>45319</v>
      </c>
    </row>
    <row r="51" spans="1:3" x14ac:dyDescent="0.3">
      <c r="A51">
        <v>50</v>
      </c>
      <c r="B51" t="s">
        <v>5</v>
      </c>
      <c r="C51" s="1">
        <v>45386</v>
      </c>
    </row>
    <row r="52" spans="1:3" x14ac:dyDescent="0.3">
      <c r="A52">
        <v>51</v>
      </c>
      <c r="B52" t="s">
        <v>7</v>
      </c>
      <c r="C52" s="1">
        <v>45325</v>
      </c>
    </row>
    <row r="53" spans="1:3" x14ac:dyDescent="0.3">
      <c r="A53">
        <v>52</v>
      </c>
      <c r="B53" t="s">
        <v>5</v>
      </c>
      <c r="C53" s="1">
        <v>44947</v>
      </c>
    </row>
    <row r="54" spans="1:3" x14ac:dyDescent="0.3">
      <c r="A54">
        <v>53</v>
      </c>
      <c r="B54" t="s">
        <v>5</v>
      </c>
      <c r="C54" s="1">
        <v>45234</v>
      </c>
    </row>
    <row r="55" spans="1:3" x14ac:dyDescent="0.3">
      <c r="A55">
        <v>54</v>
      </c>
      <c r="B55" t="s">
        <v>6</v>
      </c>
      <c r="C55" s="1">
        <v>45089</v>
      </c>
    </row>
    <row r="56" spans="1:3" x14ac:dyDescent="0.3">
      <c r="A56">
        <v>55</v>
      </c>
      <c r="B56" t="s">
        <v>4</v>
      </c>
      <c r="C56" s="1">
        <v>45416</v>
      </c>
    </row>
    <row r="57" spans="1:3" x14ac:dyDescent="0.3">
      <c r="A57">
        <v>56</v>
      </c>
      <c r="B57" t="s">
        <v>4</v>
      </c>
      <c r="C57" s="1">
        <v>45023</v>
      </c>
    </row>
    <row r="58" spans="1:3" x14ac:dyDescent="0.3">
      <c r="A58">
        <v>57</v>
      </c>
      <c r="B58" t="s">
        <v>4</v>
      </c>
      <c r="C58" s="1">
        <v>45233</v>
      </c>
    </row>
    <row r="59" spans="1:3" x14ac:dyDescent="0.3">
      <c r="A59">
        <v>58</v>
      </c>
      <c r="B59" t="s">
        <v>6</v>
      </c>
      <c r="C59" s="1">
        <v>45265</v>
      </c>
    </row>
    <row r="60" spans="1:3" x14ac:dyDescent="0.3">
      <c r="A60">
        <v>59</v>
      </c>
      <c r="B60" t="s">
        <v>3</v>
      </c>
      <c r="C60" s="1">
        <v>44981</v>
      </c>
    </row>
    <row r="61" spans="1:3" x14ac:dyDescent="0.3">
      <c r="A61">
        <v>60</v>
      </c>
      <c r="B61" t="s">
        <v>3</v>
      </c>
      <c r="C61" s="1">
        <v>45397</v>
      </c>
    </row>
    <row r="62" spans="1:3" x14ac:dyDescent="0.3">
      <c r="A62">
        <v>61</v>
      </c>
      <c r="B62" t="s">
        <v>7</v>
      </c>
      <c r="C62" s="1">
        <v>45259</v>
      </c>
    </row>
    <row r="63" spans="1:3" x14ac:dyDescent="0.3">
      <c r="A63">
        <v>62</v>
      </c>
      <c r="B63" t="s">
        <v>3</v>
      </c>
      <c r="C63" s="1">
        <v>45053</v>
      </c>
    </row>
    <row r="64" spans="1:3" x14ac:dyDescent="0.3">
      <c r="A64">
        <v>63</v>
      </c>
      <c r="B64" t="s">
        <v>3</v>
      </c>
      <c r="C64" s="1">
        <v>45354</v>
      </c>
    </row>
    <row r="65" spans="1:3" x14ac:dyDescent="0.3">
      <c r="A65">
        <v>64</v>
      </c>
      <c r="B65" t="s">
        <v>4</v>
      </c>
      <c r="C65" s="1">
        <v>45119</v>
      </c>
    </row>
    <row r="66" spans="1:3" x14ac:dyDescent="0.3">
      <c r="A66">
        <v>65</v>
      </c>
      <c r="B66" t="s">
        <v>5</v>
      </c>
      <c r="C66" s="1">
        <v>45169</v>
      </c>
    </row>
    <row r="67" spans="1:3" x14ac:dyDescent="0.3">
      <c r="A67">
        <v>66</v>
      </c>
      <c r="B67" t="s">
        <v>3</v>
      </c>
      <c r="C67" s="1">
        <v>45275</v>
      </c>
    </row>
    <row r="68" spans="1:3" x14ac:dyDescent="0.3">
      <c r="A68">
        <v>67</v>
      </c>
      <c r="B68" t="s">
        <v>3</v>
      </c>
      <c r="C68" s="1">
        <v>45014</v>
      </c>
    </row>
    <row r="69" spans="1:3" x14ac:dyDescent="0.3">
      <c r="A69">
        <v>68</v>
      </c>
      <c r="B69" t="s">
        <v>6</v>
      </c>
      <c r="C69" s="1">
        <v>45262</v>
      </c>
    </row>
    <row r="70" spans="1:3" x14ac:dyDescent="0.3">
      <c r="A70">
        <v>69</v>
      </c>
      <c r="B70" t="s">
        <v>7</v>
      </c>
      <c r="C70" s="1">
        <v>45335</v>
      </c>
    </row>
    <row r="71" spans="1:3" x14ac:dyDescent="0.3">
      <c r="A71">
        <v>70</v>
      </c>
      <c r="B71" t="s">
        <v>6</v>
      </c>
      <c r="C71" s="1">
        <v>45141</v>
      </c>
    </row>
    <row r="72" spans="1:3" x14ac:dyDescent="0.3">
      <c r="A72">
        <v>71</v>
      </c>
      <c r="B72" t="s">
        <v>4</v>
      </c>
      <c r="C72" s="1">
        <v>45018</v>
      </c>
    </row>
    <row r="73" spans="1:3" x14ac:dyDescent="0.3">
      <c r="A73">
        <v>72</v>
      </c>
      <c r="B73" t="s">
        <v>5</v>
      </c>
      <c r="C73" s="1">
        <v>45229</v>
      </c>
    </row>
    <row r="74" spans="1:3" x14ac:dyDescent="0.3">
      <c r="A74">
        <v>73</v>
      </c>
      <c r="B74" t="s">
        <v>7</v>
      </c>
      <c r="C74" s="1">
        <v>45390</v>
      </c>
    </row>
    <row r="75" spans="1:3" x14ac:dyDescent="0.3">
      <c r="A75">
        <v>74</v>
      </c>
      <c r="B75" t="s">
        <v>6</v>
      </c>
      <c r="C75" s="1">
        <v>45161</v>
      </c>
    </row>
    <row r="76" spans="1:3" x14ac:dyDescent="0.3">
      <c r="A76">
        <v>75</v>
      </c>
      <c r="B76" t="s">
        <v>3</v>
      </c>
      <c r="C76" s="1">
        <v>45110</v>
      </c>
    </row>
    <row r="77" spans="1:3" x14ac:dyDescent="0.3">
      <c r="A77">
        <v>76</v>
      </c>
      <c r="B77" t="s">
        <v>3</v>
      </c>
      <c r="C77" s="1">
        <v>44964</v>
      </c>
    </row>
    <row r="78" spans="1:3" x14ac:dyDescent="0.3">
      <c r="A78">
        <v>77</v>
      </c>
      <c r="B78" t="s">
        <v>7</v>
      </c>
      <c r="C78" s="1">
        <v>45065</v>
      </c>
    </row>
    <row r="79" spans="1:3" x14ac:dyDescent="0.3">
      <c r="A79">
        <v>78</v>
      </c>
      <c r="B79" t="s">
        <v>3</v>
      </c>
      <c r="C79" s="1">
        <v>45121</v>
      </c>
    </row>
    <row r="80" spans="1:3" x14ac:dyDescent="0.3">
      <c r="A80">
        <v>79</v>
      </c>
      <c r="B80" t="s">
        <v>6</v>
      </c>
      <c r="C80" s="1">
        <v>44941</v>
      </c>
    </row>
    <row r="81" spans="1:3" x14ac:dyDescent="0.3">
      <c r="A81">
        <v>80</v>
      </c>
      <c r="B81" t="s">
        <v>6</v>
      </c>
      <c r="C81" s="1">
        <v>45183</v>
      </c>
    </row>
    <row r="82" spans="1:3" x14ac:dyDescent="0.3">
      <c r="A82">
        <v>81</v>
      </c>
      <c r="B82" t="s">
        <v>3</v>
      </c>
      <c r="C82" s="1">
        <v>45061</v>
      </c>
    </row>
    <row r="83" spans="1:3" x14ac:dyDescent="0.3">
      <c r="A83">
        <v>82</v>
      </c>
      <c r="B83" t="s">
        <v>3</v>
      </c>
      <c r="C83" s="1">
        <v>44927</v>
      </c>
    </row>
    <row r="84" spans="1:3" x14ac:dyDescent="0.3">
      <c r="A84">
        <v>83</v>
      </c>
      <c r="B84" t="s">
        <v>4</v>
      </c>
      <c r="C84" s="1">
        <v>44975</v>
      </c>
    </row>
    <row r="85" spans="1:3" x14ac:dyDescent="0.3">
      <c r="A85">
        <v>84</v>
      </c>
      <c r="B85" t="s">
        <v>5</v>
      </c>
      <c r="C85" s="1">
        <v>45022</v>
      </c>
    </row>
    <row r="86" spans="1:3" x14ac:dyDescent="0.3">
      <c r="A86">
        <v>85</v>
      </c>
      <c r="B86" t="s">
        <v>7</v>
      </c>
      <c r="C86" s="1">
        <v>45127</v>
      </c>
    </row>
    <row r="87" spans="1:3" x14ac:dyDescent="0.3">
      <c r="A87">
        <v>86</v>
      </c>
      <c r="B87" t="s">
        <v>6</v>
      </c>
      <c r="C87" s="1">
        <v>45339</v>
      </c>
    </row>
    <row r="88" spans="1:3" x14ac:dyDescent="0.3">
      <c r="A88">
        <v>87</v>
      </c>
      <c r="B88" t="s">
        <v>7</v>
      </c>
      <c r="C88" s="1">
        <v>44952</v>
      </c>
    </row>
    <row r="89" spans="1:3" x14ac:dyDescent="0.3">
      <c r="A89">
        <v>88</v>
      </c>
      <c r="B89" t="s">
        <v>4</v>
      </c>
      <c r="C89" s="1">
        <v>45269</v>
      </c>
    </row>
    <row r="90" spans="1:3" x14ac:dyDescent="0.3">
      <c r="A90">
        <v>89</v>
      </c>
      <c r="B90" t="s">
        <v>6</v>
      </c>
      <c r="C90" s="1">
        <v>45355</v>
      </c>
    </row>
    <row r="91" spans="1:3" x14ac:dyDescent="0.3">
      <c r="A91">
        <v>90</v>
      </c>
      <c r="B91" t="s">
        <v>4</v>
      </c>
      <c r="C91" s="1">
        <v>45161</v>
      </c>
    </row>
    <row r="92" spans="1:3" x14ac:dyDescent="0.3">
      <c r="A92">
        <v>91</v>
      </c>
      <c r="B92" t="s">
        <v>4</v>
      </c>
      <c r="C92" s="1">
        <v>45275</v>
      </c>
    </row>
    <row r="93" spans="1:3" x14ac:dyDescent="0.3">
      <c r="A93">
        <v>92</v>
      </c>
      <c r="B93" t="s">
        <v>3</v>
      </c>
      <c r="C93" s="1">
        <v>45170</v>
      </c>
    </row>
    <row r="94" spans="1:3" x14ac:dyDescent="0.3">
      <c r="A94">
        <v>93</v>
      </c>
      <c r="B94" t="s">
        <v>7</v>
      </c>
      <c r="C94" s="1">
        <v>45284</v>
      </c>
    </row>
    <row r="95" spans="1:3" x14ac:dyDescent="0.3">
      <c r="A95">
        <v>94</v>
      </c>
      <c r="B95" t="s">
        <v>7</v>
      </c>
      <c r="C95" s="1">
        <v>45407</v>
      </c>
    </row>
    <row r="96" spans="1:3" x14ac:dyDescent="0.3">
      <c r="A96">
        <v>95</v>
      </c>
      <c r="B96" t="s">
        <v>3</v>
      </c>
      <c r="C96" s="1">
        <v>45253</v>
      </c>
    </row>
    <row r="97" spans="1:3" x14ac:dyDescent="0.3">
      <c r="A97">
        <v>96</v>
      </c>
      <c r="B97" t="s">
        <v>7</v>
      </c>
      <c r="C97" s="1">
        <v>45322</v>
      </c>
    </row>
    <row r="98" spans="1:3" x14ac:dyDescent="0.3">
      <c r="A98">
        <v>97</v>
      </c>
      <c r="B98" t="s">
        <v>3</v>
      </c>
      <c r="C98" s="1">
        <v>45277</v>
      </c>
    </row>
    <row r="99" spans="1:3" x14ac:dyDescent="0.3">
      <c r="A99">
        <v>98</v>
      </c>
      <c r="B99" t="s">
        <v>6</v>
      </c>
      <c r="C99" s="1">
        <v>45342</v>
      </c>
    </row>
    <row r="100" spans="1:3" x14ac:dyDescent="0.3">
      <c r="A100">
        <v>99</v>
      </c>
      <c r="B100" t="s">
        <v>4</v>
      </c>
      <c r="C100" s="1">
        <v>45300</v>
      </c>
    </row>
    <row r="101" spans="1:3" x14ac:dyDescent="0.3">
      <c r="A101">
        <v>100</v>
      </c>
      <c r="B101" t="s">
        <v>4</v>
      </c>
      <c r="C101" s="1">
        <v>45330</v>
      </c>
    </row>
    <row r="102" spans="1:3" x14ac:dyDescent="0.3">
      <c r="A102">
        <v>101</v>
      </c>
      <c r="B102" t="s">
        <v>7</v>
      </c>
      <c r="C102" s="1">
        <v>45301</v>
      </c>
    </row>
    <row r="103" spans="1:3" x14ac:dyDescent="0.3">
      <c r="A103">
        <v>102</v>
      </c>
      <c r="B103" t="s">
        <v>5</v>
      </c>
      <c r="C103" s="1">
        <v>44977</v>
      </c>
    </row>
    <row r="104" spans="1:3" x14ac:dyDescent="0.3">
      <c r="A104">
        <v>103</v>
      </c>
      <c r="B104" t="s">
        <v>4</v>
      </c>
      <c r="C104" s="1">
        <v>45007</v>
      </c>
    </row>
    <row r="105" spans="1:3" x14ac:dyDescent="0.3">
      <c r="A105">
        <v>104</v>
      </c>
      <c r="B105" t="s">
        <v>3</v>
      </c>
      <c r="C105" s="1">
        <v>44962</v>
      </c>
    </row>
    <row r="106" spans="1:3" x14ac:dyDescent="0.3">
      <c r="A106">
        <v>105</v>
      </c>
      <c r="B106" t="s">
        <v>5</v>
      </c>
      <c r="C106" s="1">
        <v>44993</v>
      </c>
    </row>
    <row r="107" spans="1:3" x14ac:dyDescent="0.3">
      <c r="A107">
        <v>106</v>
      </c>
      <c r="B107" t="s">
        <v>5</v>
      </c>
      <c r="C107" s="1">
        <v>45055</v>
      </c>
    </row>
    <row r="108" spans="1:3" x14ac:dyDescent="0.3">
      <c r="A108">
        <v>107</v>
      </c>
      <c r="B108" t="s">
        <v>4</v>
      </c>
      <c r="C108" s="1">
        <v>45296</v>
      </c>
    </row>
    <row r="109" spans="1:3" x14ac:dyDescent="0.3">
      <c r="A109">
        <v>108</v>
      </c>
      <c r="B109" t="s">
        <v>4</v>
      </c>
      <c r="C109" s="1">
        <v>45081</v>
      </c>
    </row>
    <row r="110" spans="1:3" x14ac:dyDescent="0.3">
      <c r="A110">
        <v>109</v>
      </c>
      <c r="B110" t="s">
        <v>4</v>
      </c>
      <c r="C110" s="1">
        <v>45171</v>
      </c>
    </row>
    <row r="111" spans="1:3" x14ac:dyDescent="0.3">
      <c r="A111">
        <v>110</v>
      </c>
      <c r="B111" t="s">
        <v>3</v>
      </c>
      <c r="C111" s="1">
        <v>45037</v>
      </c>
    </row>
    <row r="112" spans="1:3" x14ac:dyDescent="0.3">
      <c r="A112">
        <v>111</v>
      </c>
      <c r="B112" t="s">
        <v>5</v>
      </c>
      <c r="C112" s="1">
        <v>45094</v>
      </c>
    </row>
    <row r="113" spans="1:3" x14ac:dyDescent="0.3">
      <c r="A113">
        <v>112</v>
      </c>
      <c r="B113" t="s">
        <v>7</v>
      </c>
      <c r="C113" s="1">
        <v>45407</v>
      </c>
    </row>
    <row r="114" spans="1:3" x14ac:dyDescent="0.3">
      <c r="A114">
        <v>113</v>
      </c>
      <c r="B114" t="s">
        <v>3</v>
      </c>
      <c r="C114" s="1">
        <v>45394</v>
      </c>
    </row>
    <row r="115" spans="1:3" x14ac:dyDescent="0.3">
      <c r="A115">
        <v>114</v>
      </c>
      <c r="B115" t="s">
        <v>6</v>
      </c>
      <c r="C115" s="1">
        <v>45068</v>
      </c>
    </row>
    <row r="116" spans="1:3" x14ac:dyDescent="0.3">
      <c r="A116">
        <v>115</v>
      </c>
      <c r="B116" t="s">
        <v>4</v>
      </c>
      <c r="C116" s="1">
        <v>45282</v>
      </c>
    </row>
    <row r="117" spans="1:3" x14ac:dyDescent="0.3">
      <c r="A117">
        <v>116</v>
      </c>
      <c r="B117" t="s">
        <v>5</v>
      </c>
      <c r="C117" s="1">
        <v>45123</v>
      </c>
    </row>
    <row r="118" spans="1:3" x14ac:dyDescent="0.3">
      <c r="A118">
        <v>117</v>
      </c>
      <c r="B118" t="s">
        <v>3</v>
      </c>
      <c r="C118" s="1">
        <v>45397</v>
      </c>
    </row>
    <row r="119" spans="1:3" x14ac:dyDescent="0.3">
      <c r="A119">
        <v>118</v>
      </c>
      <c r="B119" t="s">
        <v>6</v>
      </c>
      <c r="C119" s="1">
        <v>45035</v>
      </c>
    </row>
    <row r="120" spans="1:3" x14ac:dyDescent="0.3">
      <c r="A120">
        <v>119</v>
      </c>
      <c r="B120" t="s">
        <v>3</v>
      </c>
      <c r="C120" s="1">
        <v>45302</v>
      </c>
    </row>
    <row r="121" spans="1:3" x14ac:dyDescent="0.3">
      <c r="A121">
        <v>120</v>
      </c>
      <c r="B121" t="s">
        <v>3</v>
      </c>
      <c r="C121" s="1">
        <v>45005</v>
      </c>
    </row>
    <row r="122" spans="1:3" x14ac:dyDescent="0.3">
      <c r="A122">
        <v>121</v>
      </c>
      <c r="B122" t="s">
        <v>7</v>
      </c>
      <c r="C122" s="1">
        <v>45316</v>
      </c>
    </row>
    <row r="123" spans="1:3" x14ac:dyDescent="0.3">
      <c r="A123">
        <v>122</v>
      </c>
      <c r="B123" t="s">
        <v>7</v>
      </c>
      <c r="C123" s="1">
        <v>45087</v>
      </c>
    </row>
    <row r="124" spans="1:3" x14ac:dyDescent="0.3">
      <c r="A124">
        <v>123</v>
      </c>
      <c r="B124" t="s">
        <v>3</v>
      </c>
      <c r="C124" s="1">
        <v>45365</v>
      </c>
    </row>
    <row r="125" spans="1:3" x14ac:dyDescent="0.3">
      <c r="A125">
        <v>124</v>
      </c>
      <c r="B125" t="s">
        <v>6</v>
      </c>
      <c r="C125" s="1">
        <v>44945</v>
      </c>
    </row>
    <row r="126" spans="1:3" x14ac:dyDescent="0.3">
      <c r="A126">
        <v>125</v>
      </c>
      <c r="B126" t="s">
        <v>5</v>
      </c>
      <c r="C126" s="1">
        <v>45053</v>
      </c>
    </row>
    <row r="127" spans="1:3" x14ac:dyDescent="0.3">
      <c r="A127">
        <v>126</v>
      </c>
      <c r="B127" t="s">
        <v>5</v>
      </c>
      <c r="C127" s="1">
        <v>45131</v>
      </c>
    </row>
    <row r="128" spans="1:3" x14ac:dyDescent="0.3">
      <c r="A128">
        <v>127</v>
      </c>
      <c r="B128" t="s">
        <v>4</v>
      </c>
      <c r="C128" s="1">
        <v>44955</v>
      </c>
    </row>
    <row r="129" spans="1:3" x14ac:dyDescent="0.3">
      <c r="A129">
        <v>128</v>
      </c>
      <c r="B129" t="s">
        <v>4</v>
      </c>
      <c r="C129" s="1">
        <v>45371</v>
      </c>
    </row>
    <row r="130" spans="1:3" x14ac:dyDescent="0.3">
      <c r="A130">
        <v>129</v>
      </c>
      <c r="B130" t="s">
        <v>5</v>
      </c>
      <c r="C130" s="1">
        <v>45380</v>
      </c>
    </row>
    <row r="131" spans="1:3" x14ac:dyDescent="0.3">
      <c r="A131">
        <v>130</v>
      </c>
      <c r="B131" t="s">
        <v>3</v>
      </c>
      <c r="C131" s="1">
        <v>45133</v>
      </c>
    </row>
    <row r="132" spans="1:3" x14ac:dyDescent="0.3">
      <c r="A132">
        <v>131</v>
      </c>
      <c r="B132" t="s">
        <v>3</v>
      </c>
      <c r="C132" s="1">
        <v>45390</v>
      </c>
    </row>
    <row r="133" spans="1:3" x14ac:dyDescent="0.3">
      <c r="A133">
        <v>132</v>
      </c>
      <c r="B133" t="s">
        <v>7</v>
      </c>
      <c r="C133" s="1">
        <v>45206</v>
      </c>
    </row>
    <row r="134" spans="1:3" x14ac:dyDescent="0.3">
      <c r="A134">
        <v>133</v>
      </c>
      <c r="B134" t="s">
        <v>7</v>
      </c>
      <c r="C134" s="1">
        <v>45077</v>
      </c>
    </row>
    <row r="135" spans="1:3" x14ac:dyDescent="0.3">
      <c r="A135">
        <v>134</v>
      </c>
      <c r="B135" t="s">
        <v>4</v>
      </c>
      <c r="C135" s="1">
        <v>45166</v>
      </c>
    </row>
    <row r="136" spans="1:3" x14ac:dyDescent="0.3">
      <c r="A136">
        <v>135</v>
      </c>
      <c r="B136" t="s">
        <v>5</v>
      </c>
      <c r="C136" s="1">
        <v>45192</v>
      </c>
    </row>
    <row r="137" spans="1:3" x14ac:dyDescent="0.3">
      <c r="A137">
        <v>136</v>
      </c>
      <c r="B137" t="s">
        <v>3</v>
      </c>
      <c r="C137" s="1">
        <v>45108</v>
      </c>
    </row>
    <row r="138" spans="1:3" x14ac:dyDescent="0.3">
      <c r="A138">
        <v>137</v>
      </c>
      <c r="B138" t="s">
        <v>5</v>
      </c>
      <c r="C138" s="1">
        <v>45031</v>
      </c>
    </row>
    <row r="139" spans="1:3" x14ac:dyDescent="0.3">
      <c r="A139">
        <v>138</v>
      </c>
      <c r="B139" t="s">
        <v>6</v>
      </c>
      <c r="C139" s="1">
        <v>45351</v>
      </c>
    </row>
    <row r="140" spans="1:3" x14ac:dyDescent="0.3">
      <c r="A140">
        <v>139</v>
      </c>
      <c r="B140" t="s">
        <v>5</v>
      </c>
      <c r="C140" s="1">
        <v>45359</v>
      </c>
    </row>
    <row r="141" spans="1:3" x14ac:dyDescent="0.3">
      <c r="A141">
        <v>140</v>
      </c>
      <c r="B141" t="s">
        <v>6</v>
      </c>
      <c r="C141" s="1">
        <v>45327</v>
      </c>
    </row>
    <row r="142" spans="1:3" x14ac:dyDescent="0.3">
      <c r="A142">
        <v>141</v>
      </c>
      <c r="B142" t="s">
        <v>7</v>
      </c>
      <c r="C142" s="1">
        <v>45423</v>
      </c>
    </row>
    <row r="143" spans="1:3" x14ac:dyDescent="0.3">
      <c r="A143">
        <v>142</v>
      </c>
      <c r="B143" t="s">
        <v>7</v>
      </c>
      <c r="C143" s="1">
        <v>45366</v>
      </c>
    </row>
    <row r="144" spans="1:3" x14ac:dyDescent="0.3">
      <c r="A144">
        <v>143</v>
      </c>
      <c r="B144" t="s">
        <v>4</v>
      </c>
      <c r="C144" s="1">
        <v>45162</v>
      </c>
    </row>
    <row r="145" spans="1:3" x14ac:dyDescent="0.3">
      <c r="A145">
        <v>144</v>
      </c>
      <c r="B145" t="s">
        <v>5</v>
      </c>
      <c r="C145" s="1">
        <v>45099</v>
      </c>
    </row>
    <row r="146" spans="1:3" x14ac:dyDescent="0.3">
      <c r="A146">
        <v>145</v>
      </c>
      <c r="B146" t="s">
        <v>5</v>
      </c>
      <c r="C146" s="1">
        <v>45084</v>
      </c>
    </row>
    <row r="147" spans="1:3" x14ac:dyDescent="0.3">
      <c r="A147">
        <v>146</v>
      </c>
      <c r="B147" t="s">
        <v>6</v>
      </c>
      <c r="C147" s="1">
        <v>45098</v>
      </c>
    </row>
    <row r="148" spans="1:3" x14ac:dyDescent="0.3">
      <c r="A148">
        <v>147</v>
      </c>
      <c r="B148" t="s">
        <v>7</v>
      </c>
      <c r="C148" s="1">
        <v>45420</v>
      </c>
    </row>
    <row r="149" spans="1:3" x14ac:dyDescent="0.3">
      <c r="A149">
        <v>148</v>
      </c>
      <c r="B149" t="s">
        <v>6</v>
      </c>
      <c r="C149" s="1">
        <v>45384</v>
      </c>
    </row>
    <row r="150" spans="1:3" x14ac:dyDescent="0.3">
      <c r="A150">
        <v>149</v>
      </c>
      <c r="B150" t="s">
        <v>7</v>
      </c>
      <c r="C150" s="1">
        <v>45237</v>
      </c>
    </row>
    <row r="151" spans="1:3" x14ac:dyDescent="0.3">
      <c r="A151">
        <v>150</v>
      </c>
      <c r="B151" t="s">
        <v>6</v>
      </c>
      <c r="C151" s="1">
        <v>45329</v>
      </c>
    </row>
    <row r="152" spans="1:3" x14ac:dyDescent="0.3">
      <c r="A152">
        <v>151</v>
      </c>
      <c r="B152" t="s">
        <v>7</v>
      </c>
      <c r="C152" s="1">
        <v>45083</v>
      </c>
    </row>
    <row r="153" spans="1:3" x14ac:dyDescent="0.3">
      <c r="A153">
        <v>152</v>
      </c>
      <c r="B153" t="s">
        <v>6</v>
      </c>
      <c r="C153" s="1">
        <v>45184</v>
      </c>
    </row>
    <row r="154" spans="1:3" x14ac:dyDescent="0.3">
      <c r="A154">
        <v>153</v>
      </c>
      <c r="B154" t="s">
        <v>7</v>
      </c>
      <c r="C154" s="1">
        <v>45090</v>
      </c>
    </row>
    <row r="155" spans="1:3" x14ac:dyDescent="0.3">
      <c r="A155">
        <v>154</v>
      </c>
      <c r="B155" t="s">
        <v>6</v>
      </c>
      <c r="C155" s="1">
        <v>45073</v>
      </c>
    </row>
    <row r="156" spans="1:3" x14ac:dyDescent="0.3">
      <c r="A156">
        <v>155</v>
      </c>
      <c r="B156" t="s">
        <v>5</v>
      </c>
      <c r="C156" s="1">
        <v>45317</v>
      </c>
    </row>
    <row r="157" spans="1:3" x14ac:dyDescent="0.3">
      <c r="A157">
        <v>156</v>
      </c>
      <c r="B157" t="s">
        <v>4</v>
      </c>
      <c r="C157" s="1">
        <v>45080</v>
      </c>
    </row>
    <row r="158" spans="1:3" x14ac:dyDescent="0.3">
      <c r="A158">
        <v>157</v>
      </c>
      <c r="B158" t="s">
        <v>6</v>
      </c>
      <c r="C158" s="1">
        <v>45389</v>
      </c>
    </row>
    <row r="159" spans="1:3" x14ac:dyDescent="0.3">
      <c r="A159">
        <v>158</v>
      </c>
      <c r="B159" t="s">
        <v>4</v>
      </c>
      <c r="C159" s="1">
        <v>45293</v>
      </c>
    </row>
    <row r="160" spans="1:3" x14ac:dyDescent="0.3">
      <c r="A160">
        <v>159</v>
      </c>
      <c r="B160" t="s">
        <v>5</v>
      </c>
      <c r="C160" s="1">
        <v>44964</v>
      </c>
    </row>
    <row r="161" spans="1:3" x14ac:dyDescent="0.3">
      <c r="A161">
        <v>160</v>
      </c>
      <c r="B161" t="s">
        <v>5</v>
      </c>
      <c r="C161" s="1">
        <v>45057</v>
      </c>
    </row>
    <row r="162" spans="1:3" x14ac:dyDescent="0.3">
      <c r="A162">
        <v>161</v>
      </c>
      <c r="B162" t="s">
        <v>7</v>
      </c>
      <c r="C162" s="1">
        <v>45284</v>
      </c>
    </row>
    <row r="163" spans="1:3" x14ac:dyDescent="0.3">
      <c r="A163">
        <v>162</v>
      </c>
      <c r="B163" t="s">
        <v>4</v>
      </c>
      <c r="C163" s="1">
        <v>45181</v>
      </c>
    </row>
    <row r="164" spans="1:3" x14ac:dyDescent="0.3">
      <c r="A164">
        <v>163</v>
      </c>
      <c r="B164" t="s">
        <v>3</v>
      </c>
      <c r="C164" s="1">
        <v>45134</v>
      </c>
    </row>
    <row r="165" spans="1:3" x14ac:dyDescent="0.3">
      <c r="A165">
        <v>164</v>
      </c>
      <c r="B165" t="s">
        <v>7</v>
      </c>
      <c r="C165" s="1">
        <v>45376</v>
      </c>
    </row>
    <row r="166" spans="1:3" x14ac:dyDescent="0.3">
      <c r="A166">
        <v>165</v>
      </c>
      <c r="B166" t="s">
        <v>4</v>
      </c>
      <c r="C166" s="1">
        <v>45021</v>
      </c>
    </row>
    <row r="167" spans="1:3" x14ac:dyDescent="0.3">
      <c r="A167">
        <v>166</v>
      </c>
      <c r="B167" t="s">
        <v>6</v>
      </c>
      <c r="C167" s="1">
        <v>45274</v>
      </c>
    </row>
    <row r="168" spans="1:3" x14ac:dyDescent="0.3">
      <c r="A168">
        <v>167</v>
      </c>
      <c r="B168" t="s">
        <v>6</v>
      </c>
      <c r="C168" s="1">
        <v>45253</v>
      </c>
    </row>
    <row r="169" spans="1:3" x14ac:dyDescent="0.3">
      <c r="A169">
        <v>168</v>
      </c>
      <c r="B169" t="s">
        <v>5</v>
      </c>
      <c r="C169" s="1">
        <v>45404</v>
      </c>
    </row>
    <row r="170" spans="1:3" x14ac:dyDescent="0.3">
      <c r="A170">
        <v>169</v>
      </c>
      <c r="B170" t="s">
        <v>3</v>
      </c>
      <c r="C170" s="1">
        <v>45097</v>
      </c>
    </row>
    <row r="171" spans="1:3" x14ac:dyDescent="0.3">
      <c r="A171">
        <v>170</v>
      </c>
      <c r="B171" t="s">
        <v>6</v>
      </c>
      <c r="C171" s="1">
        <v>45176</v>
      </c>
    </row>
    <row r="172" spans="1:3" x14ac:dyDescent="0.3">
      <c r="A172">
        <v>171</v>
      </c>
      <c r="B172" t="s">
        <v>4</v>
      </c>
      <c r="C172" s="1">
        <v>45116</v>
      </c>
    </row>
    <row r="173" spans="1:3" x14ac:dyDescent="0.3">
      <c r="A173">
        <v>172</v>
      </c>
      <c r="B173" t="s">
        <v>4</v>
      </c>
      <c r="C173" s="1">
        <v>45125</v>
      </c>
    </row>
    <row r="174" spans="1:3" x14ac:dyDescent="0.3">
      <c r="A174">
        <v>173</v>
      </c>
      <c r="B174" t="s">
        <v>6</v>
      </c>
      <c r="C174" s="1">
        <v>45410</v>
      </c>
    </row>
    <row r="175" spans="1:3" x14ac:dyDescent="0.3">
      <c r="A175">
        <v>174</v>
      </c>
      <c r="B175" t="s">
        <v>4</v>
      </c>
      <c r="C175" s="1">
        <v>45147</v>
      </c>
    </row>
    <row r="176" spans="1:3" x14ac:dyDescent="0.3">
      <c r="A176">
        <v>175</v>
      </c>
      <c r="B176" t="s">
        <v>4</v>
      </c>
      <c r="C176" s="1">
        <v>44950</v>
      </c>
    </row>
    <row r="177" spans="1:3" x14ac:dyDescent="0.3">
      <c r="A177">
        <v>176</v>
      </c>
      <c r="B177" t="s">
        <v>5</v>
      </c>
      <c r="C177" s="1">
        <v>45170</v>
      </c>
    </row>
    <row r="178" spans="1:3" x14ac:dyDescent="0.3">
      <c r="A178">
        <v>177</v>
      </c>
      <c r="B178" t="s">
        <v>3</v>
      </c>
      <c r="C178" s="1">
        <v>45349</v>
      </c>
    </row>
    <row r="179" spans="1:3" x14ac:dyDescent="0.3">
      <c r="A179">
        <v>178</v>
      </c>
      <c r="B179" t="s">
        <v>5</v>
      </c>
      <c r="C179" s="1">
        <v>45250</v>
      </c>
    </row>
    <row r="180" spans="1:3" x14ac:dyDescent="0.3">
      <c r="A180">
        <v>179</v>
      </c>
      <c r="B180" t="s">
        <v>3</v>
      </c>
      <c r="C180" s="1">
        <v>45054</v>
      </c>
    </row>
    <row r="181" spans="1:3" x14ac:dyDescent="0.3">
      <c r="A181">
        <v>180</v>
      </c>
      <c r="B181" t="s">
        <v>4</v>
      </c>
      <c r="C181" s="1">
        <v>45019</v>
      </c>
    </row>
    <row r="182" spans="1:3" x14ac:dyDescent="0.3">
      <c r="A182">
        <v>181</v>
      </c>
      <c r="B182" t="s">
        <v>3</v>
      </c>
      <c r="C182" s="1">
        <v>45226</v>
      </c>
    </row>
    <row r="183" spans="1:3" x14ac:dyDescent="0.3">
      <c r="A183">
        <v>182</v>
      </c>
      <c r="B183" t="s">
        <v>4</v>
      </c>
      <c r="C183" s="1">
        <v>45059</v>
      </c>
    </row>
    <row r="184" spans="1:3" x14ac:dyDescent="0.3">
      <c r="A184">
        <v>183</v>
      </c>
      <c r="B184" t="s">
        <v>4</v>
      </c>
      <c r="C184" s="1">
        <v>44981</v>
      </c>
    </row>
    <row r="185" spans="1:3" x14ac:dyDescent="0.3">
      <c r="A185">
        <v>184</v>
      </c>
      <c r="B185" t="s">
        <v>5</v>
      </c>
      <c r="C185" s="1">
        <v>45403</v>
      </c>
    </row>
    <row r="186" spans="1:3" x14ac:dyDescent="0.3">
      <c r="A186">
        <v>185</v>
      </c>
      <c r="B186" t="s">
        <v>5</v>
      </c>
      <c r="C186" s="1">
        <v>45084</v>
      </c>
    </row>
    <row r="187" spans="1:3" x14ac:dyDescent="0.3">
      <c r="A187">
        <v>186</v>
      </c>
      <c r="B187" t="s">
        <v>7</v>
      </c>
      <c r="C187" s="1">
        <v>44955</v>
      </c>
    </row>
    <row r="188" spans="1:3" x14ac:dyDescent="0.3">
      <c r="A188">
        <v>187</v>
      </c>
      <c r="B188" t="s">
        <v>6</v>
      </c>
      <c r="C188" s="1">
        <v>45336</v>
      </c>
    </row>
    <row r="189" spans="1:3" x14ac:dyDescent="0.3">
      <c r="A189">
        <v>188</v>
      </c>
      <c r="B189" t="s">
        <v>7</v>
      </c>
      <c r="C189" s="1">
        <v>45137</v>
      </c>
    </row>
    <row r="190" spans="1:3" x14ac:dyDescent="0.3">
      <c r="A190">
        <v>189</v>
      </c>
      <c r="B190" t="s">
        <v>7</v>
      </c>
      <c r="C190" s="1">
        <v>45080</v>
      </c>
    </row>
    <row r="191" spans="1:3" x14ac:dyDescent="0.3">
      <c r="A191">
        <v>190</v>
      </c>
      <c r="B191" t="s">
        <v>3</v>
      </c>
      <c r="C191" s="1">
        <v>45219</v>
      </c>
    </row>
    <row r="192" spans="1:3" x14ac:dyDescent="0.3">
      <c r="A192">
        <v>191</v>
      </c>
      <c r="B192" t="s">
        <v>4</v>
      </c>
      <c r="C192" s="1">
        <v>45401</v>
      </c>
    </row>
    <row r="193" spans="1:3" x14ac:dyDescent="0.3">
      <c r="A193">
        <v>192</v>
      </c>
      <c r="B193" t="s">
        <v>4</v>
      </c>
      <c r="C193" s="1">
        <v>45148</v>
      </c>
    </row>
    <row r="194" spans="1:3" x14ac:dyDescent="0.3">
      <c r="A194">
        <v>193</v>
      </c>
      <c r="B194" t="s">
        <v>4</v>
      </c>
      <c r="C194" s="1">
        <v>45041</v>
      </c>
    </row>
    <row r="195" spans="1:3" x14ac:dyDescent="0.3">
      <c r="A195">
        <v>194</v>
      </c>
      <c r="B195" t="s">
        <v>6</v>
      </c>
      <c r="C195" s="1">
        <v>45363</v>
      </c>
    </row>
    <row r="196" spans="1:3" x14ac:dyDescent="0.3">
      <c r="A196">
        <v>195</v>
      </c>
      <c r="B196" t="s">
        <v>3</v>
      </c>
      <c r="C196" s="1">
        <v>45084</v>
      </c>
    </row>
    <row r="197" spans="1:3" x14ac:dyDescent="0.3">
      <c r="A197">
        <v>196</v>
      </c>
      <c r="B197" t="s">
        <v>3</v>
      </c>
      <c r="C197" s="1">
        <v>45185</v>
      </c>
    </row>
    <row r="198" spans="1:3" x14ac:dyDescent="0.3">
      <c r="A198">
        <v>197</v>
      </c>
      <c r="B198" t="s">
        <v>4</v>
      </c>
      <c r="C198" s="1">
        <v>45177</v>
      </c>
    </row>
    <row r="199" spans="1:3" x14ac:dyDescent="0.3">
      <c r="A199">
        <v>198</v>
      </c>
      <c r="B199" t="s">
        <v>7</v>
      </c>
      <c r="C199" s="1">
        <v>45048</v>
      </c>
    </row>
    <row r="200" spans="1:3" x14ac:dyDescent="0.3">
      <c r="A200">
        <v>199</v>
      </c>
      <c r="B200" t="s">
        <v>6</v>
      </c>
      <c r="C200" s="1">
        <v>45225</v>
      </c>
    </row>
    <row r="201" spans="1:3" x14ac:dyDescent="0.3">
      <c r="A201">
        <v>200</v>
      </c>
      <c r="B201" t="s">
        <v>7</v>
      </c>
      <c r="C201" s="1">
        <v>45189</v>
      </c>
    </row>
    <row r="202" spans="1:3" x14ac:dyDescent="0.3">
      <c r="A202">
        <v>201</v>
      </c>
      <c r="B202" t="s">
        <v>5</v>
      </c>
      <c r="C202" s="1">
        <v>45307</v>
      </c>
    </row>
    <row r="203" spans="1:3" x14ac:dyDescent="0.3">
      <c r="A203">
        <v>202</v>
      </c>
      <c r="B203" t="s">
        <v>3</v>
      </c>
      <c r="C203" s="1">
        <v>44975</v>
      </c>
    </row>
    <row r="204" spans="1:3" x14ac:dyDescent="0.3">
      <c r="A204">
        <v>203</v>
      </c>
      <c r="B204" t="s">
        <v>3</v>
      </c>
      <c r="C204" s="1">
        <v>45303</v>
      </c>
    </row>
    <row r="205" spans="1:3" x14ac:dyDescent="0.3">
      <c r="A205">
        <v>204</v>
      </c>
      <c r="B205" t="s">
        <v>7</v>
      </c>
      <c r="C205" s="1">
        <v>45255</v>
      </c>
    </row>
    <row r="206" spans="1:3" x14ac:dyDescent="0.3">
      <c r="A206">
        <v>205</v>
      </c>
      <c r="B206" t="s">
        <v>6</v>
      </c>
      <c r="C206" s="1">
        <v>45223</v>
      </c>
    </row>
    <row r="207" spans="1:3" x14ac:dyDescent="0.3">
      <c r="A207">
        <v>206</v>
      </c>
      <c r="B207" t="s">
        <v>3</v>
      </c>
      <c r="C207" s="1">
        <v>45288</v>
      </c>
    </row>
    <row r="208" spans="1:3" x14ac:dyDescent="0.3">
      <c r="A208">
        <v>207</v>
      </c>
      <c r="B208" t="s">
        <v>7</v>
      </c>
      <c r="C208" s="1">
        <v>45003</v>
      </c>
    </row>
    <row r="209" spans="1:3" x14ac:dyDescent="0.3">
      <c r="A209">
        <v>208</v>
      </c>
      <c r="B209" t="s">
        <v>6</v>
      </c>
      <c r="C209" s="1">
        <v>45389</v>
      </c>
    </row>
    <row r="210" spans="1:3" x14ac:dyDescent="0.3">
      <c r="A210">
        <v>209</v>
      </c>
      <c r="B210" t="s">
        <v>7</v>
      </c>
      <c r="C210" s="1">
        <v>45364</v>
      </c>
    </row>
    <row r="211" spans="1:3" x14ac:dyDescent="0.3">
      <c r="A211">
        <v>210</v>
      </c>
      <c r="B211" t="s">
        <v>6</v>
      </c>
      <c r="C211" s="1">
        <v>45053</v>
      </c>
    </row>
    <row r="212" spans="1:3" x14ac:dyDescent="0.3">
      <c r="A212">
        <v>211</v>
      </c>
      <c r="B212" t="s">
        <v>4</v>
      </c>
      <c r="C212" s="1">
        <v>45123</v>
      </c>
    </row>
    <row r="213" spans="1:3" x14ac:dyDescent="0.3">
      <c r="A213">
        <v>212</v>
      </c>
      <c r="B213" t="s">
        <v>6</v>
      </c>
      <c r="C213" s="1">
        <v>45147</v>
      </c>
    </row>
    <row r="214" spans="1:3" x14ac:dyDescent="0.3">
      <c r="A214">
        <v>213</v>
      </c>
      <c r="B214" t="s">
        <v>5</v>
      </c>
      <c r="C214" s="1">
        <v>45409</v>
      </c>
    </row>
    <row r="215" spans="1:3" x14ac:dyDescent="0.3">
      <c r="A215">
        <v>214</v>
      </c>
      <c r="B215" t="s">
        <v>4</v>
      </c>
      <c r="C215" s="1">
        <v>45017</v>
      </c>
    </row>
    <row r="216" spans="1:3" x14ac:dyDescent="0.3">
      <c r="A216">
        <v>215</v>
      </c>
      <c r="B216" t="s">
        <v>7</v>
      </c>
      <c r="C216" s="1">
        <v>45337</v>
      </c>
    </row>
    <row r="217" spans="1:3" x14ac:dyDescent="0.3">
      <c r="A217">
        <v>216</v>
      </c>
      <c r="B217" t="s">
        <v>4</v>
      </c>
      <c r="C217" s="1">
        <v>44934</v>
      </c>
    </row>
    <row r="218" spans="1:3" x14ac:dyDescent="0.3">
      <c r="A218">
        <v>217</v>
      </c>
      <c r="B218" t="s">
        <v>4</v>
      </c>
      <c r="C218" s="1">
        <v>44958</v>
      </c>
    </row>
    <row r="219" spans="1:3" x14ac:dyDescent="0.3">
      <c r="A219">
        <v>218</v>
      </c>
      <c r="B219" t="s">
        <v>7</v>
      </c>
      <c r="C219" s="1">
        <v>45394</v>
      </c>
    </row>
    <row r="220" spans="1:3" x14ac:dyDescent="0.3">
      <c r="A220">
        <v>219</v>
      </c>
      <c r="B220" t="s">
        <v>7</v>
      </c>
      <c r="C220" s="1">
        <v>45246</v>
      </c>
    </row>
    <row r="221" spans="1:3" x14ac:dyDescent="0.3">
      <c r="A221">
        <v>220</v>
      </c>
      <c r="B221" t="s">
        <v>5</v>
      </c>
      <c r="C221" s="1">
        <v>45320</v>
      </c>
    </row>
    <row r="222" spans="1:3" x14ac:dyDescent="0.3">
      <c r="A222">
        <v>221</v>
      </c>
      <c r="B222" t="s">
        <v>7</v>
      </c>
      <c r="C222" s="1">
        <v>45195</v>
      </c>
    </row>
    <row r="223" spans="1:3" x14ac:dyDescent="0.3">
      <c r="A223">
        <v>222</v>
      </c>
      <c r="B223" t="s">
        <v>3</v>
      </c>
      <c r="C223" s="1">
        <v>45117</v>
      </c>
    </row>
    <row r="224" spans="1:3" x14ac:dyDescent="0.3">
      <c r="A224">
        <v>223</v>
      </c>
      <c r="B224" t="s">
        <v>3</v>
      </c>
      <c r="C224" s="1">
        <v>45275</v>
      </c>
    </row>
    <row r="225" spans="1:3" x14ac:dyDescent="0.3">
      <c r="A225">
        <v>224</v>
      </c>
      <c r="B225" t="s">
        <v>5</v>
      </c>
      <c r="C225" s="1">
        <v>45089</v>
      </c>
    </row>
    <row r="226" spans="1:3" x14ac:dyDescent="0.3">
      <c r="A226">
        <v>225</v>
      </c>
      <c r="B226" t="s">
        <v>6</v>
      </c>
      <c r="C226" s="1">
        <v>44987</v>
      </c>
    </row>
    <row r="227" spans="1:3" x14ac:dyDescent="0.3">
      <c r="A227">
        <v>226</v>
      </c>
      <c r="B227" t="s">
        <v>6</v>
      </c>
      <c r="C227" s="1">
        <v>45364</v>
      </c>
    </row>
    <row r="228" spans="1:3" x14ac:dyDescent="0.3">
      <c r="A228">
        <v>227</v>
      </c>
      <c r="B228" t="s">
        <v>3</v>
      </c>
      <c r="C228" s="1">
        <v>45190</v>
      </c>
    </row>
    <row r="229" spans="1:3" x14ac:dyDescent="0.3">
      <c r="A229">
        <v>228</v>
      </c>
      <c r="B229" t="s">
        <v>7</v>
      </c>
      <c r="C229" s="1">
        <v>45211</v>
      </c>
    </row>
    <row r="230" spans="1:3" x14ac:dyDescent="0.3">
      <c r="A230">
        <v>229</v>
      </c>
      <c r="B230" t="s">
        <v>5</v>
      </c>
      <c r="C230" s="1">
        <v>45021</v>
      </c>
    </row>
    <row r="231" spans="1:3" x14ac:dyDescent="0.3">
      <c r="A231">
        <v>230</v>
      </c>
      <c r="B231" t="s">
        <v>6</v>
      </c>
      <c r="C231" s="1">
        <v>44967</v>
      </c>
    </row>
    <row r="232" spans="1:3" x14ac:dyDescent="0.3">
      <c r="A232">
        <v>231</v>
      </c>
      <c r="B232" t="s">
        <v>6</v>
      </c>
      <c r="C232" s="1">
        <v>45340</v>
      </c>
    </row>
    <row r="233" spans="1:3" x14ac:dyDescent="0.3">
      <c r="A233">
        <v>232</v>
      </c>
      <c r="B233" t="s">
        <v>4</v>
      </c>
      <c r="C233" s="1">
        <v>45396</v>
      </c>
    </row>
    <row r="234" spans="1:3" x14ac:dyDescent="0.3">
      <c r="A234">
        <v>233</v>
      </c>
      <c r="B234" t="s">
        <v>3</v>
      </c>
      <c r="C234" s="1">
        <v>45075</v>
      </c>
    </row>
    <row r="235" spans="1:3" x14ac:dyDescent="0.3">
      <c r="A235">
        <v>234</v>
      </c>
      <c r="B235" t="s">
        <v>7</v>
      </c>
      <c r="C235" s="1">
        <v>45130</v>
      </c>
    </row>
    <row r="236" spans="1:3" x14ac:dyDescent="0.3">
      <c r="A236">
        <v>235</v>
      </c>
      <c r="B236" t="s">
        <v>5</v>
      </c>
      <c r="C236" s="1">
        <v>45193</v>
      </c>
    </row>
    <row r="237" spans="1:3" x14ac:dyDescent="0.3">
      <c r="A237">
        <v>236</v>
      </c>
      <c r="B237" t="s">
        <v>6</v>
      </c>
      <c r="C237" s="1">
        <v>44928</v>
      </c>
    </row>
    <row r="238" spans="1:3" x14ac:dyDescent="0.3">
      <c r="A238">
        <v>237</v>
      </c>
      <c r="B238" t="s">
        <v>4</v>
      </c>
      <c r="C238" s="1">
        <v>45104</v>
      </c>
    </row>
    <row r="239" spans="1:3" x14ac:dyDescent="0.3">
      <c r="A239">
        <v>238</v>
      </c>
      <c r="B239" t="s">
        <v>3</v>
      </c>
      <c r="C239" s="1">
        <v>45351</v>
      </c>
    </row>
    <row r="240" spans="1:3" x14ac:dyDescent="0.3">
      <c r="A240">
        <v>239</v>
      </c>
      <c r="B240" t="s">
        <v>3</v>
      </c>
      <c r="C240" s="1">
        <v>45120</v>
      </c>
    </row>
    <row r="241" spans="1:3" x14ac:dyDescent="0.3">
      <c r="A241">
        <v>240</v>
      </c>
      <c r="B241" t="s">
        <v>5</v>
      </c>
      <c r="C241" s="1">
        <v>45408</v>
      </c>
    </row>
    <row r="242" spans="1:3" x14ac:dyDescent="0.3">
      <c r="A242">
        <v>241</v>
      </c>
      <c r="B242" t="s">
        <v>6</v>
      </c>
      <c r="C242" s="1">
        <v>45313</v>
      </c>
    </row>
    <row r="243" spans="1:3" x14ac:dyDescent="0.3">
      <c r="A243">
        <v>242</v>
      </c>
      <c r="B243" t="s">
        <v>5</v>
      </c>
      <c r="C243" s="1">
        <v>45262</v>
      </c>
    </row>
    <row r="244" spans="1:3" x14ac:dyDescent="0.3">
      <c r="A244">
        <v>243</v>
      </c>
      <c r="B244" t="s">
        <v>5</v>
      </c>
      <c r="C244" s="1">
        <v>45361</v>
      </c>
    </row>
    <row r="245" spans="1:3" x14ac:dyDescent="0.3">
      <c r="A245">
        <v>244</v>
      </c>
      <c r="B245" t="s">
        <v>4</v>
      </c>
      <c r="C245" s="1">
        <v>45122</v>
      </c>
    </row>
    <row r="246" spans="1:3" x14ac:dyDescent="0.3">
      <c r="A246">
        <v>245</v>
      </c>
      <c r="B246" t="s">
        <v>3</v>
      </c>
      <c r="C246" s="1">
        <v>45269</v>
      </c>
    </row>
    <row r="247" spans="1:3" x14ac:dyDescent="0.3">
      <c r="A247">
        <v>246</v>
      </c>
      <c r="B247" t="s">
        <v>7</v>
      </c>
      <c r="C247" s="1">
        <v>45175</v>
      </c>
    </row>
    <row r="248" spans="1:3" x14ac:dyDescent="0.3">
      <c r="A248">
        <v>247</v>
      </c>
      <c r="B248" t="s">
        <v>3</v>
      </c>
      <c r="C248" s="1">
        <v>45424</v>
      </c>
    </row>
    <row r="249" spans="1:3" x14ac:dyDescent="0.3">
      <c r="A249">
        <v>248</v>
      </c>
      <c r="B249" t="s">
        <v>3</v>
      </c>
      <c r="C249" s="1">
        <v>45138</v>
      </c>
    </row>
    <row r="250" spans="1:3" x14ac:dyDescent="0.3">
      <c r="A250">
        <v>249</v>
      </c>
      <c r="B250" t="s">
        <v>4</v>
      </c>
      <c r="C250" s="1">
        <v>45079</v>
      </c>
    </row>
    <row r="251" spans="1:3" x14ac:dyDescent="0.3">
      <c r="A251">
        <v>250</v>
      </c>
      <c r="B251" t="s">
        <v>7</v>
      </c>
      <c r="C251" s="1">
        <v>45084</v>
      </c>
    </row>
    <row r="252" spans="1:3" x14ac:dyDescent="0.3">
      <c r="A252">
        <v>251</v>
      </c>
      <c r="B252" t="s">
        <v>6</v>
      </c>
      <c r="C252" s="1">
        <v>45392</v>
      </c>
    </row>
    <row r="253" spans="1:3" x14ac:dyDescent="0.3">
      <c r="A253">
        <v>252</v>
      </c>
      <c r="B253" t="s">
        <v>7</v>
      </c>
      <c r="C253" s="1">
        <v>45288</v>
      </c>
    </row>
    <row r="254" spans="1:3" x14ac:dyDescent="0.3">
      <c r="A254">
        <v>253</v>
      </c>
      <c r="B254" t="s">
        <v>6</v>
      </c>
      <c r="C254" s="1">
        <v>45065</v>
      </c>
    </row>
    <row r="255" spans="1:3" x14ac:dyDescent="0.3">
      <c r="A255">
        <v>254</v>
      </c>
      <c r="B255" t="s">
        <v>7</v>
      </c>
      <c r="C255" s="1">
        <v>45147</v>
      </c>
    </row>
    <row r="256" spans="1:3" x14ac:dyDescent="0.3">
      <c r="A256">
        <v>255</v>
      </c>
      <c r="B256" t="s">
        <v>5</v>
      </c>
      <c r="C256" s="1">
        <v>45199</v>
      </c>
    </row>
    <row r="257" spans="1:3" x14ac:dyDescent="0.3">
      <c r="A257">
        <v>256</v>
      </c>
      <c r="B257" t="s">
        <v>7</v>
      </c>
      <c r="C257" s="1">
        <v>45080</v>
      </c>
    </row>
    <row r="258" spans="1:3" x14ac:dyDescent="0.3">
      <c r="A258">
        <v>257</v>
      </c>
      <c r="B258" t="s">
        <v>4</v>
      </c>
      <c r="C258" s="1">
        <v>45175</v>
      </c>
    </row>
    <row r="259" spans="1:3" x14ac:dyDescent="0.3">
      <c r="A259">
        <v>258</v>
      </c>
      <c r="B259" t="s">
        <v>6</v>
      </c>
      <c r="C259" s="1">
        <v>45205</v>
      </c>
    </row>
    <row r="260" spans="1:3" x14ac:dyDescent="0.3">
      <c r="A260">
        <v>259</v>
      </c>
      <c r="B260" t="s">
        <v>3</v>
      </c>
      <c r="C260" s="1">
        <v>45366</v>
      </c>
    </row>
    <row r="261" spans="1:3" x14ac:dyDescent="0.3">
      <c r="A261">
        <v>260</v>
      </c>
      <c r="B261" t="s">
        <v>4</v>
      </c>
      <c r="C261" s="1">
        <v>45362</v>
      </c>
    </row>
    <row r="262" spans="1:3" x14ac:dyDescent="0.3">
      <c r="A262">
        <v>261</v>
      </c>
      <c r="B262" t="s">
        <v>6</v>
      </c>
      <c r="C262" s="1">
        <v>45230</v>
      </c>
    </row>
    <row r="263" spans="1:3" x14ac:dyDescent="0.3">
      <c r="A263">
        <v>262</v>
      </c>
      <c r="B263" t="s">
        <v>6</v>
      </c>
      <c r="C263" s="1">
        <v>45202</v>
      </c>
    </row>
    <row r="264" spans="1:3" x14ac:dyDescent="0.3">
      <c r="A264">
        <v>263</v>
      </c>
      <c r="B264" t="s">
        <v>3</v>
      </c>
      <c r="C264" s="1">
        <v>45419</v>
      </c>
    </row>
    <row r="265" spans="1:3" x14ac:dyDescent="0.3">
      <c r="A265">
        <v>264</v>
      </c>
      <c r="B265" t="s">
        <v>5</v>
      </c>
      <c r="C265" s="1">
        <v>44928</v>
      </c>
    </row>
    <row r="266" spans="1:3" x14ac:dyDescent="0.3">
      <c r="A266">
        <v>265</v>
      </c>
      <c r="B266" t="s">
        <v>4</v>
      </c>
      <c r="C266" s="1">
        <v>45014</v>
      </c>
    </row>
    <row r="267" spans="1:3" x14ac:dyDescent="0.3">
      <c r="A267">
        <v>266</v>
      </c>
      <c r="B267" t="s">
        <v>3</v>
      </c>
      <c r="C267" s="1">
        <v>45213</v>
      </c>
    </row>
    <row r="268" spans="1:3" x14ac:dyDescent="0.3">
      <c r="A268">
        <v>267</v>
      </c>
      <c r="B268" t="s">
        <v>3</v>
      </c>
      <c r="C268" s="1">
        <v>45337</v>
      </c>
    </row>
    <row r="269" spans="1:3" x14ac:dyDescent="0.3">
      <c r="A269">
        <v>268</v>
      </c>
      <c r="B269" t="s">
        <v>5</v>
      </c>
      <c r="C269" s="1">
        <v>45056</v>
      </c>
    </row>
    <row r="270" spans="1:3" x14ac:dyDescent="0.3">
      <c r="A270">
        <v>269</v>
      </c>
      <c r="B270" t="s">
        <v>4</v>
      </c>
      <c r="C270" s="1">
        <v>45004</v>
      </c>
    </row>
    <row r="271" spans="1:3" x14ac:dyDescent="0.3">
      <c r="A271">
        <v>270</v>
      </c>
      <c r="B271" t="s">
        <v>3</v>
      </c>
      <c r="C271" s="1">
        <v>45186</v>
      </c>
    </row>
    <row r="272" spans="1:3" x14ac:dyDescent="0.3">
      <c r="A272">
        <v>271</v>
      </c>
      <c r="B272" t="s">
        <v>5</v>
      </c>
      <c r="C272" s="1">
        <v>45167</v>
      </c>
    </row>
    <row r="273" spans="1:3" x14ac:dyDescent="0.3">
      <c r="A273">
        <v>272</v>
      </c>
      <c r="B273" t="s">
        <v>4</v>
      </c>
      <c r="C273" s="1">
        <v>45067</v>
      </c>
    </row>
    <row r="274" spans="1:3" x14ac:dyDescent="0.3">
      <c r="A274">
        <v>273</v>
      </c>
      <c r="B274" t="s">
        <v>7</v>
      </c>
      <c r="C274" s="1">
        <v>45154</v>
      </c>
    </row>
    <row r="275" spans="1:3" x14ac:dyDescent="0.3">
      <c r="A275">
        <v>274</v>
      </c>
      <c r="B275" t="s">
        <v>6</v>
      </c>
      <c r="C275" s="1">
        <v>45089</v>
      </c>
    </row>
    <row r="276" spans="1:3" x14ac:dyDescent="0.3">
      <c r="A276">
        <v>275</v>
      </c>
      <c r="B276" t="s">
        <v>5</v>
      </c>
      <c r="C276" s="1">
        <v>45162</v>
      </c>
    </row>
    <row r="277" spans="1:3" x14ac:dyDescent="0.3">
      <c r="A277">
        <v>276</v>
      </c>
      <c r="B277" t="s">
        <v>6</v>
      </c>
      <c r="C277" s="1">
        <v>45054</v>
      </c>
    </row>
    <row r="278" spans="1:3" x14ac:dyDescent="0.3">
      <c r="A278">
        <v>277</v>
      </c>
      <c r="B278" t="s">
        <v>7</v>
      </c>
      <c r="C278" s="1">
        <v>45126</v>
      </c>
    </row>
    <row r="279" spans="1:3" x14ac:dyDescent="0.3">
      <c r="A279">
        <v>278</v>
      </c>
      <c r="B279" t="s">
        <v>3</v>
      </c>
      <c r="C279" s="1">
        <v>45376</v>
      </c>
    </row>
    <row r="280" spans="1:3" x14ac:dyDescent="0.3">
      <c r="A280">
        <v>279</v>
      </c>
      <c r="B280" t="s">
        <v>3</v>
      </c>
      <c r="C280" s="1">
        <v>45316</v>
      </c>
    </row>
    <row r="281" spans="1:3" x14ac:dyDescent="0.3">
      <c r="A281">
        <v>280</v>
      </c>
      <c r="B281" t="s">
        <v>4</v>
      </c>
      <c r="C281" s="1">
        <v>44957</v>
      </c>
    </row>
    <row r="282" spans="1:3" x14ac:dyDescent="0.3">
      <c r="A282">
        <v>281</v>
      </c>
      <c r="B282" t="s">
        <v>5</v>
      </c>
      <c r="C282" s="1">
        <v>45064</v>
      </c>
    </row>
    <row r="283" spans="1:3" x14ac:dyDescent="0.3">
      <c r="A283">
        <v>282</v>
      </c>
      <c r="B283" t="s">
        <v>5</v>
      </c>
      <c r="C283" s="1">
        <v>45418</v>
      </c>
    </row>
    <row r="284" spans="1:3" x14ac:dyDescent="0.3">
      <c r="A284">
        <v>283</v>
      </c>
      <c r="B284" t="s">
        <v>4</v>
      </c>
      <c r="C284" s="1">
        <v>44947</v>
      </c>
    </row>
    <row r="285" spans="1:3" x14ac:dyDescent="0.3">
      <c r="A285">
        <v>284</v>
      </c>
      <c r="B285" t="s">
        <v>6</v>
      </c>
      <c r="C285" s="1">
        <v>45160</v>
      </c>
    </row>
    <row r="286" spans="1:3" x14ac:dyDescent="0.3">
      <c r="A286">
        <v>285</v>
      </c>
      <c r="B286" t="s">
        <v>3</v>
      </c>
      <c r="C286" s="1">
        <v>45128</v>
      </c>
    </row>
    <row r="287" spans="1:3" x14ac:dyDescent="0.3">
      <c r="A287">
        <v>286</v>
      </c>
      <c r="B287" t="s">
        <v>3</v>
      </c>
      <c r="C287" s="1">
        <v>45205</v>
      </c>
    </row>
    <row r="288" spans="1:3" x14ac:dyDescent="0.3">
      <c r="A288">
        <v>287</v>
      </c>
      <c r="B288" t="s">
        <v>5</v>
      </c>
      <c r="C288" s="1">
        <v>45057</v>
      </c>
    </row>
    <row r="289" spans="1:3" x14ac:dyDescent="0.3">
      <c r="A289">
        <v>288</v>
      </c>
      <c r="B289" t="s">
        <v>5</v>
      </c>
      <c r="C289" s="1">
        <v>45342</v>
      </c>
    </row>
    <row r="290" spans="1:3" x14ac:dyDescent="0.3">
      <c r="A290">
        <v>289</v>
      </c>
      <c r="B290" t="s">
        <v>4</v>
      </c>
      <c r="C290" s="1">
        <v>45074</v>
      </c>
    </row>
    <row r="291" spans="1:3" x14ac:dyDescent="0.3">
      <c r="A291">
        <v>290</v>
      </c>
      <c r="B291" t="s">
        <v>7</v>
      </c>
      <c r="C291" s="1">
        <v>45384</v>
      </c>
    </row>
    <row r="292" spans="1:3" x14ac:dyDescent="0.3">
      <c r="A292">
        <v>291</v>
      </c>
      <c r="B292" t="s">
        <v>6</v>
      </c>
      <c r="C292" s="1">
        <v>44955</v>
      </c>
    </row>
    <row r="293" spans="1:3" x14ac:dyDescent="0.3">
      <c r="A293">
        <v>292</v>
      </c>
      <c r="B293" t="s">
        <v>7</v>
      </c>
      <c r="C293" s="1">
        <v>45287</v>
      </c>
    </row>
    <row r="294" spans="1:3" x14ac:dyDescent="0.3">
      <c r="A294">
        <v>293</v>
      </c>
      <c r="B294" t="s">
        <v>7</v>
      </c>
      <c r="C294" s="1">
        <v>45234</v>
      </c>
    </row>
    <row r="295" spans="1:3" x14ac:dyDescent="0.3">
      <c r="A295">
        <v>294</v>
      </c>
      <c r="B295" t="s">
        <v>5</v>
      </c>
      <c r="C295" s="1">
        <v>45297</v>
      </c>
    </row>
    <row r="296" spans="1:3" x14ac:dyDescent="0.3">
      <c r="A296">
        <v>295</v>
      </c>
      <c r="B296" t="s">
        <v>5</v>
      </c>
      <c r="C296" s="1">
        <v>45356</v>
      </c>
    </row>
    <row r="297" spans="1:3" x14ac:dyDescent="0.3">
      <c r="A297">
        <v>296</v>
      </c>
      <c r="B297" t="s">
        <v>5</v>
      </c>
      <c r="C297" s="1">
        <v>45088</v>
      </c>
    </row>
    <row r="298" spans="1:3" x14ac:dyDescent="0.3">
      <c r="A298">
        <v>297</v>
      </c>
      <c r="B298" t="s">
        <v>7</v>
      </c>
      <c r="C298" s="1">
        <v>45283</v>
      </c>
    </row>
    <row r="299" spans="1:3" x14ac:dyDescent="0.3">
      <c r="A299">
        <v>298</v>
      </c>
      <c r="B299" t="s">
        <v>6</v>
      </c>
      <c r="C299" s="1">
        <v>45266</v>
      </c>
    </row>
    <row r="300" spans="1:3" x14ac:dyDescent="0.3">
      <c r="A300">
        <v>299</v>
      </c>
      <c r="B300" t="s">
        <v>5</v>
      </c>
      <c r="C300" s="1">
        <v>44987</v>
      </c>
    </row>
    <row r="301" spans="1:3" x14ac:dyDescent="0.3">
      <c r="A301">
        <v>300</v>
      </c>
      <c r="B301" t="s">
        <v>3</v>
      </c>
      <c r="C301" s="1">
        <v>45051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094D-4898-4307-83C1-C4B41D2DD435}">
  <dimension ref="A1:H1001"/>
  <sheetViews>
    <sheetView workbookViewId="0">
      <selection activeCell="E20" sqref="E20"/>
    </sheetView>
  </sheetViews>
  <sheetFormatPr defaultRowHeight="14.4" x14ac:dyDescent="0.3"/>
  <cols>
    <col min="1" max="1" width="10.109375" bestFit="1" customWidth="1"/>
    <col min="2" max="2" width="13.5546875" bestFit="1" customWidth="1"/>
    <col min="3" max="3" width="12.21875" bestFit="1" customWidth="1"/>
    <col min="4" max="4" width="9.77734375" bestFit="1" customWidth="1"/>
    <col min="6" max="6" width="11.109375" customWidth="1"/>
  </cols>
  <sheetData>
    <row r="1" spans="1:8" x14ac:dyDescent="0.3">
      <c r="A1" t="s">
        <v>8</v>
      </c>
      <c r="B1" t="s">
        <v>0</v>
      </c>
      <c r="C1" t="s">
        <v>9</v>
      </c>
      <c r="D1" t="s">
        <v>10</v>
      </c>
    </row>
    <row r="2" spans="1:8" x14ac:dyDescent="0.3">
      <c r="A2">
        <v>1</v>
      </c>
      <c r="B2">
        <v>103</v>
      </c>
      <c r="C2" s="1">
        <v>45596</v>
      </c>
      <c r="D2" t="s">
        <v>11</v>
      </c>
    </row>
    <row r="3" spans="1:8" x14ac:dyDescent="0.3">
      <c r="A3">
        <v>2</v>
      </c>
      <c r="B3">
        <v>271</v>
      </c>
      <c r="C3" s="1">
        <v>45577</v>
      </c>
      <c r="D3" t="s">
        <v>11</v>
      </c>
    </row>
    <row r="4" spans="1:8" x14ac:dyDescent="0.3">
      <c r="A4">
        <v>3</v>
      </c>
      <c r="B4">
        <v>107</v>
      </c>
      <c r="C4" s="1">
        <v>45435</v>
      </c>
      <c r="D4" t="s">
        <v>11</v>
      </c>
    </row>
    <row r="5" spans="1:8" x14ac:dyDescent="0.3">
      <c r="A5">
        <v>4</v>
      </c>
      <c r="B5">
        <v>72</v>
      </c>
      <c r="C5" s="1">
        <v>45310</v>
      </c>
      <c r="D5" t="s">
        <v>11</v>
      </c>
    </row>
    <row r="6" spans="1:8" x14ac:dyDescent="0.3">
      <c r="A6">
        <v>5</v>
      </c>
      <c r="B6">
        <v>189</v>
      </c>
      <c r="C6" s="1">
        <v>45309</v>
      </c>
      <c r="D6" t="s">
        <v>11</v>
      </c>
    </row>
    <row r="7" spans="1:8" x14ac:dyDescent="0.3">
      <c r="A7">
        <v>6</v>
      </c>
      <c r="B7">
        <v>21</v>
      </c>
      <c r="C7" s="1">
        <v>45548</v>
      </c>
      <c r="D7" t="s">
        <v>11</v>
      </c>
      <c r="F7" s="2" t="s">
        <v>11</v>
      </c>
      <c r="G7" s="2" t="s">
        <v>13</v>
      </c>
      <c r="H7" s="2" t="s">
        <v>12</v>
      </c>
    </row>
    <row r="8" spans="1:8" x14ac:dyDescent="0.3">
      <c r="A8">
        <v>7</v>
      </c>
      <c r="B8">
        <v>103</v>
      </c>
      <c r="C8" s="1">
        <v>45369</v>
      </c>
      <c r="D8" t="s">
        <v>11</v>
      </c>
      <c r="F8" s="2">
        <f>COUNTIF(D:D,"Completed")</f>
        <v>805</v>
      </c>
      <c r="G8" s="2">
        <f>COUNTIF(D:D,"Returned")</f>
        <v>92</v>
      </c>
      <c r="H8" s="2">
        <f>COUNTIF(D:D,"Cancelled")</f>
        <v>103</v>
      </c>
    </row>
    <row r="9" spans="1:8" x14ac:dyDescent="0.3">
      <c r="A9">
        <v>8</v>
      </c>
      <c r="B9">
        <v>122</v>
      </c>
      <c r="C9" s="1">
        <v>45466</v>
      </c>
      <c r="D9" t="s">
        <v>12</v>
      </c>
    </row>
    <row r="10" spans="1:8" x14ac:dyDescent="0.3">
      <c r="A10">
        <v>9</v>
      </c>
      <c r="B10">
        <v>215</v>
      </c>
      <c r="C10" s="1">
        <v>45485</v>
      </c>
      <c r="D10" t="s">
        <v>11</v>
      </c>
    </row>
    <row r="11" spans="1:8" x14ac:dyDescent="0.3">
      <c r="A11">
        <v>10</v>
      </c>
      <c r="B11">
        <v>88</v>
      </c>
      <c r="C11" s="1">
        <v>45404</v>
      </c>
      <c r="D11" t="s">
        <v>11</v>
      </c>
    </row>
    <row r="12" spans="1:8" x14ac:dyDescent="0.3">
      <c r="A12">
        <v>11</v>
      </c>
      <c r="B12">
        <v>100</v>
      </c>
      <c r="C12" s="1">
        <v>45405</v>
      </c>
      <c r="D12" t="s">
        <v>11</v>
      </c>
    </row>
    <row r="13" spans="1:8" x14ac:dyDescent="0.3">
      <c r="A13">
        <v>12</v>
      </c>
      <c r="B13">
        <v>152</v>
      </c>
      <c r="C13" s="1">
        <v>45513</v>
      </c>
      <c r="D13" t="s">
        <v>11</v>
      </c>
    </row>
    <row r="14" spans="1:8" x14ac:dyDescent="0.3">
      <c r="A14">
        <v>13</v>
      </c>
      <c r="B14">
        <v>131</v>
      </c>
      <c r="C14" s="1">
        <v>45457</v>
      </c>
      <c r="D14" t="s">
        <v>11</v>
      </c>
    </row>
    <row r="15" spans="1:8" x14ac:dyDescent="0.3">
      <c r="A15">
        <v>14</v>
      </c>
      <c r="B15">
        <v>150</v>
      </c>
      <c r="C15" s="1">
        <v>45610</v>
      </c>
      <c r="D15" t="s">
        <v>11</v>
      </c>
    </row>
    <row r="16" spans="1:8" x14ac:dyDescent="0.3">
      <c r="A16">
        <v>15</v>
      </c>
      <c r="B16">
        <v>258</v>
      </c>
      <c r="C16" s="1">
        <v>45423</v>
      </c>
      <c r="D16" t="s">
        <v>11</v>
      </c>
    </row>
    <row r="17" spans="1:4" x14ac:dyDescent="0.3">
      <c r="A17">
        <v>16</v>
      </c>
      <c r="B17">
        <v>294</v>
      </c>
      <c r="C17" s="1">
        <v>45555</v>
      </c>
      <c r="D17" t="s">
        <v>11</v>
      </c>
    </row>
    <row r="18" spans="1:4" x14ac:dyDescent="0.3">
      <c r="A18">
        <v>17</v>
      </c>
      <c r="B18">
        <v>192</v>
      </c>
      <c r="C18" s="1">
        <v>45346</v>
      </c>
      <c r="D18" t="s">
        <v>11</v>
      </c>
    </row>
    <row r="19" spans="1:4" x14ac:dyDescent="0.3">
      <c r="A19">
        <v>18</v>
      </c>
      <c r="B19">
        <v>277</v>
      </c>
      <c r="C19" s="1">
        <v>45650</v>
      </c>
      <c r="D19" t="s">
        <v>11</v>
      </c>
    </row>
    <row r="20" spans="1:4" x14ac:dyDescent="0.3">
      <c r="A20">
        <v>19</v>
      </c>
      <c r="B20">
        <v>161</v>
      </c>
      <c r="C20" s="1">
        <v>45422</v>
      </c>
      <c r="D20" t="s">
        <v>13</v>
      </c>
    </row>
    <row r="21" spans="1:4" x14ac:dyDescent="0.3">
      <c r="A21">
        <v>20</v>
      </c>
      <c r="B21">
        <v>22</v>
      </c>
      <c r="C21" s="1">
        <v>45579</v>
      </c>
      <c r="D21" t="s">
        <v>11</v>
      </c>
    </row>
    <row r="22" spans="1:4" x14ac:dyDescent="0.3">
      <c r="A22">
        <v>21</v>
      </c>
      <c r="B22">
        <v>253</v>
      </c>
      <c r="C22" s="1">
        <v>45557</v>
      </c>
      <c r="D22" t="s">
        <v>11</v>
      </c>
    </row>
    <row r="23" spans="1:4" x14ac:dyDescent="0.3">
      <c r="A23">
        <v>22</v>
      </c>
      <c r="B23">
        <v>236</v>
      </c>
      <c r="C23" s="1">
        <v>45453</v>
      </c>
      <c r="D23" t="s">
        <v>11</v>
      </c>
    </row>
    <row r="24" spans="1:4" x14ac:dyDescent="0.3">
      <c r="A24">
        <v>23</v>
      </c>
      <c r="B24">
        <v>49</v>
      </c>
      <c r="C24" s="1">
        <v>45378</v>
      </c>
      <c r="D24" t="s">
        <v>11</v>
      </c>
    </row>
    <row r="25" spans="1:4" x14ac:dyDescent="0.3">
      <c r="A25">
        <v>24</v>
      </c>
      <c r="B25">
        <v>59</v>
      </c>
      <c r="C25" s="1">
        <v>45346</v>
      </c>
      <c r="D25" t="s">
        <v>11</v>
      </c>
    </row>
    <row r="26" spans="1:4" x14ac:dyDescent="0.3">
      <c r="A26">
        <v>25</v>
      </c>
      <c r="B26">
        <v>170</v>
      </c>
      <c r="C26" s="1">
        <v>45579</v>
      </c>
      <c r="D26" t="s">
        <v>11</v>
      </c>
    </row>
    <row r="27" spans="1:4" x14ac:dyDescent="0.3">
      <c r="A27">
        <v>26</v>
      </c>
      <c r="B27">
        <v>188</v>
      </c>
      <c r="C27" s="1">
        <v>45469</v>
      </c>
      <c r="D27" t="s">
        <v>13</v>
      </c>
    </row>
    <row r="28" spans="1:4" x14ac:dyDescent="0.3">
      <c r="A28">
        <v>27</v>
      </c>
      <c r="B28">
        <v>271</v>
      </c>
      <c r="C28" s="1">
        <v>45640</v>
      </c>
      <c r="D28" t="s">
        <v>11</v>
      </c>
    </row>
    <row r="29" spans="1:4" x14ac:dyDescent="0.3">
      <c r="A29">
        <v>28</v>
      </c>
      <c r="B29">
        <v>190</v>
      </c>
      <c r="C29" s="1">
        <v>45299</v>
      </c>
      <c r="D29" t="s">
        <v>11</v>
      </c>
    </row>
    <row r="30" spans="1:4" x14ac:dyDescent="0.3">
      <c r="A30">
        <v>29</v>
      </c>
      <c r="B30">
        <v>175</v>
      </c>
      <c r="C30" s="1">
        <v>45612</v>
      </c>
      <c r="D30" t="s">
        <v>11</v>
      </c>
    </row>
    <row r="31" spans="1:4" x14ac:dyDescent="0.3">
      <c r="A31">
        <v>30</v>
      </c>
      <c r="B31">
        <v>51</v>
      </c>
      <c r="C31" s="1">
        <v>45604</v>
      </c>
      <c r="D31" t="s">
        <v>11</v>
      </c>
    </row>
    <row r="32" spans="1:4" x14ac:dyDescent="0.3">
      <c r="A32">
        <v>31</v>
      </c>
      <c r="B32">
        <v>55</v>
      </c>
      <c r="C32" s="1">
        <v>45538</v>
      </c>
      <c r="D32" t="s">
        <v>11</v>
      </c>
    </row>
    <row r="33" spans="1:4" x14ac:dyDescent="0.3">
      <c r="A33">
        <v>32</v>
      </c>
      <c r="B33">
        <v>244</v>
      </c>
      <c r="C33" s="1">
        <v>45614</v>
      </c>
      <c r="D33" t="s">
        <v>11</v>
      </c>
    </row>
    <row r="34" spans="1:4" x14ac:dyDescent="0.3">
      <c r="A34">
        <v>33</v>
      </c>
      <c r="B34">
        <v>131</v>
      </c>
      <c r="C34" s="1">
        <v>45546</v>
      </c>
      <c r="D34" t="s">
        <v>11</v>
      </c>
    </row>
    <row r="35" spans="1:4" x14ac:dyDescent="0.3">
      <c r="A35">
        <v>34</v>
      </c>
      <c r="B35">
        <v>135</v>
      </c>
      <c r="C35" s="1">
        <v>45619</v>
      </c>
      <c r="D35" t="s">
        <v>12</v>
      </c>
    </row>
    <row r="36" spans="1:4" x14ac:dyDescent="0.3">
      <c r="A36">
        <v>35</v>
      </c>
      <c r="B36">
        <v>21</v>
      </c>
      <c r="C36" s="1">
        <v>45345</v>
      </c>
      <c r="D36" t="s">
        <v>11</v>
      </c>
    </row>
    <row r="37" spans="1:4" x14ac:dyDescent="0.3">
      <c r="A37">
        <v>36</v>
      </c>
      <c r="B37">
        <v>167</v>
      </c>
      <c r="C37" s="1">
        <v>45540</v>
      </c>
      <c r="D37" t="s">
        <v>11</v>
      </c>
    </row>
    <row r="38" spans="1:4" x14ac:dyDescent="0.3">
      <c r="A38">
        <v>37</v>
      </c>
      <c r="B38">
        <v>274</v>
      </c>
      <c r="C38" s="1">
        <v>45530</v>
      </c>
      <c r="D38" t="s">
        <v>11</v>
      </c>
    </row>
    <row r="39" spans="1:4" x14ac:dyDescent="0.3">
      <c r="A39">
        <v>38</v>
      </c>
      <c r="B39">
        <v>89</v>
      </c>
      <c r="C39" s="1">
        <v>45520</v>
      </c>
      <c r="D39" t="s">
        <v>11</v>
      </c>
    </row>
    <row r="40" spans="1:4" x14ac:dyDescent="0.3">
      <c r="A40">
        <v>39</v>
      </c>
      <c r="B40">
        <v>14</v>
      </c>
      <c r="C40" s="1">
        <v>45358</v>
      </c>
      <c r="D40" t="s">
        <v>11</v>
      </c>
    </row>
    <row r="41" spans="1:4" x14ac:dyDescent="0.3">
      <c r="A41">
        <v>40</v>
      </c>
      <c r="B41">
        <v>242</v>
      </c>
      <c r="C41" s="1">
        <v>45342</v>
      </c>
      <c r="D41" t="s">
        <v>11</v>
      </c>
    </row>
    <row r="42" spans="1:4" x14ac:dyDescent="0.3">
      <c r="A42">
        <v>41</v>
      </c>
      <c r="B42">
        <v>265</v>
      </c>
      <c r="C42" s="1">
        <v>45388</v>
      </c>
      <c r="D42" t="s">
        <v>11</v>
      </c>
    </row>
    <row r="43" spans="1:4" x14ac:dyDescent="0.3">
      <c r="A43">
        <v>42</v>
      </c>
      <c r="B43">
        <v>53</v>
      </c>
      <c r="C43" s="1">
        <v>45383</v>
      </c>
      <c r="D43" t="s">
        <v>12</v>
      </c>
    </row>
    <row r="44" spans="1:4" x14ac:dyDescent="0.3">
      <c r="A44">
        <v>43</v>
      </c>
      <c r="B44">
        <v>92</v>
      </c>
      <c r="C44" s="1">
        <v>45555</v>
      </c>
      <c r="D44" t="s">
        <v>11</v>
      </c>
    </row>
    <row r="45" spans="1:4" x14ac:dyDescent="0.3">
      <c r="A45">
        <v>44</v>
      </c>
      <c r="B45">
        <v>264</v>
      </c>
      <c r="C45" s="1">
        <v>45582</v>
      </c>
      <c r="D45" t="s">
        <v>11</v>
      </c>
    </row>
    <row r="46" spans="1:4" x14ac:dyDescent="0.3">
      <c r="A46">
        <v>45</v>
      </c>
      <c r="B46">
        <v>35</v>
      </c>
      <c r="C46" s="1">
        <v>45387</v>
      </c>
      <c r="D46" t="s">
        <v>12</v>
      </c>
    </row>
    <row r="47" spans="1:4" x14ac:dyDescent="0.3">
      <c r="A47">
        <v>46</v>
      </c>
      <c r="B47">
        <v>206</v>
      </c>
      <c r="C47" s="1">
        <v>45379</v>
      </c>
      <c r="D47" t="s">
        <v>11</v>
      </c>
    </row>
    <row r="48" spans="1:4" x14ac:dyDescent="0.3">
      <c r="A48">
        <v>47</v>
      </c>
      <c r="B48">
        <v>81</v>
      </c>
      <c r="C48" s="1">
        <v>45369</v>
      </c>
      <c r="D48" t="s">
        <v>11</v>
      </c>
    </row>
    <row r="49" spans="1:4" x14ac:dyDescent="0.3">
      <c r="A49">
        <v>48</v>
      </c>
      <c r="B49">
        <v>50</v>
      </c>
      <c r="C49" s="1">
        <v>45579</v>
      </c>
      <c r="D49" t="s">
        <v>11</v>
      </c>
    </row>
    <row r="50" spans="1:4" x14ac:dyDescent="0.3">
      <c r="A50">
        <v>49</v>
      </c>
      <c r="B50">
        <v>2</v>
      </c>
      <c r="C50" s="1">
        <v>45411</v>
      </c>
      <c r="D50" t="s">
        <v>11</v>
      </c>
    </row>
    <row r="51" spans="1:4" x14ac:dyDescent="0.3">
      <c r="A51">
        <v>50</v>
      </c>
      <c r="B51">
        <v>54</v>
      </c>
      <c r="C51" s="1">
        <v>45593</v>
      </c>
      <c r="D51" t="s">
        <v>11</v>
      </c>
    </row>
    <row r="52" spans="1:4" x14ac:dyDescent="0.3">
      <c r="A52">
        <v>51</v>
      </c>
      <c r="B52">
        <v>106</v>
      </c>
      <c r="C52" s="1">
        <v>45456</v>
      </c>
      <c r="D52" t="s">
        <v>13</v>
      </c>
    </row>
    <row r="53" spans="1:4" x14ac:dyDescent="0.3">
      <c r="A53">
        <v>52</v>
      </c>
      <c r="B53">
        <v>260</v>
      </c>
      <c r="C53" s="1">
        <v>45473</v>
      </c>
      <c r="D53" t="s">
        <v>11</v>
      </c>
    </row>
    <row r="54" spans="1:4" x14ac:dyDescent="0.3">
      <c r="A54">
        <v>53</v>
      </c>
      <c r="B54">
        <v>191</v>
      </c>
      <c r="C54" s="1">
        <v>45514</v>
      </c>
      <c r="D54" t="s">
        <v>11</v>
      </c>
    </row>
    <row r="55" spans="1:4" x14ac:dyDescent="0.3">
      <c r="A55">
        <v>54</v>
      </c>
      <c r="B55">
        <v>218</v>
      </c>
      <c r="C55" s="1">
        <v>45602</v>
      </c>
      <c r="D55" t="s">
        <v>11</v>
      </c>
    </row>
    <row r="56" spans="1:4" x14ac:dyDescent="0.3">
      <c r="A56">
        <v>55</v>
      </c>
      <c r="B56">
        <v>44</v>
      </c>
      <c r="C56" s="1">
        <v>45298</v>
      </c>
      <c r="D56" t="s">
        <v>11</v>
      </c>
    </row>
    <row r="57" spans="1:4" x14ac:dyDescent="0.3">
      <c r="A57">
        <v>56</v>
      </c>
      <c r="B57">
        <v>162</v>
      </c>
      <c r="C57" s="1">
        <v>45621</v>
      </c>
      <c r="D57" t="s">
        <v>11</v>
      </c>
    </row>
    <row r="58" spans="1:4" x14ac:dyDescent="0.3">
      <c r="A58">
        <v>57</v>
      </c>
      <c r="B58">
        <v>202</v>
      </c>
      <c r="C58" s="1">
        <v>45554</v>
      </c>
      <c r="D58" t="s">
        <v>11</v>
      </c>
    </row>
    <row r="59" spans="1:4" x14ac:dyDescent="0.3">
      <c r="A59">
        <v>58</v>
      </c>
      <c r="B59">
        <v>270</v>
      </c>
      <c r="C59" s="1">
        <v>45452</v>
      </c>
      <c r="D59" t="s">
        <v>13</v>
      </c>
    </row>
    <row r="60" spans="1:4" x14ac:dyDescent="0.3">
      <c r="A60">
        <v>59</v>
      </c>
      <c r="B60">
        <v>271</v>
      </c>
      <c r="C60" s="1">
        <v>45442</v>
      </c>
      <c r="D60" t="s">
        <v>11</v>
      </c>
    </row>
    <row r="61" spans="1:4" x14ac:dyDescent="0.3">
      <c r="A61">
        <v>60</v>
      </c>
      <c r="B61">
        <v>215</v>
      </c>
      <c r="C61" s="1">
        <v>45376</v>
      </c>
      <c r="D61" t="s">
        <v>11</v>
      </c>
    </row>
    <row r="62" spans="1:4" x14ac:dyDescent="0.3">
      <c r="A62">
        <v>61</v>
      </c>
      <c r="B62">
        <v>252</v>
      </c>
      <c r="C62" s="1">
        <v>45438</v>
      </c>
      <c r="D62" t="s">
        <v>11</v>
      </c>
    </row>
    <row r="63" spans="1:4" x14ac:dyDescent="0.3">
      <c r="A63">
        <v>62</v>
      </c>
      <c r="B63">
        <v>190</v>
      </c>
      <c r="C63" s="1">
        <v>45403</v>
      </c>
      <c r="D63" t="s">
        <v>11</v>
      </c>
    </row>
    <row r="64" spans="1:4" x14ac:dyDescent="0.3">
      <c r="A64">
        <v>63</v>
      </c>
      <c r="B64">
        <v>296</v>
      </c>
      <c r="C64" s="1">
        <v>45327</v>
      </c>
      <c r="D64" t="s">
        <v>11</v>
      </c>
    </row>
    <row r="65" spans="1:4" x14ac:dyDescent="0.3">
      <c r="A65">
        <v>64</v>
      </c>
      <c r="B65">
        <v>213</v>
      </c>
      <c r="C65" s="1">
        <v>45576</v>
      </c>
      <c r="D65" t="s">
        <v>11</v>
      </c>
    </row>
    <row r="66" spans="1:4" x14ac:dyDescent="0.3">
      <c r="A66">
        <v>65</v>
      </c>
      <c r="B66">
        <v>208</v>
      </c>
      <c r="C66" s="1">
        <v>45479</v>
      </c>
      <c r="D66" t="s">
        <v>11</v>
      </c>
    </row>
    <row r="67" spans="1:4" x14ac:dyDescent="0.3">
      <c r="A67">
        <v>66</v>
      </c>
      <c r="B67">
        <v>237</v>
      </c>
      <c r="C67" s="1">
        <v>45373</v>
      </c>
      <c r="D67" t="s">
        <v>11</v>
      </c>
    </row>
    <row r="68" spans="1:4" x14ac:dyDescent="0.3">
      <c r="A68">
        <v>67</v>
      </c>
      <c r="B68">
        <v>53</v>
      </c>
      <c r="C68" s="1">
        <v>45293</v>
      </c>
      <c r="D68" t="s">
        <v>11</v>
      </c>
    </row>
    <row r="69" spans="1:4" x14ac:dyDescent="0.3">
      <c r="A69">
        <v>68</v>
      </c>
      <c r="B69">
        <v>280</v>
      </c>
      <c r="C69" s="1">
        <v>45594</v>
      </c>
      <c r="D69" t="s">
        <v>11</v>
      </c>
    </row>
    <row r="70" spans="1:4" x14ac:dyDescent="0.3">
      <c r="A70">
        <v>69</v>
      </c>
      <c r="B70">
        <v>217</v>
      </c>
      <c r="C70" s="1">
        <v>45488</v>
      </c>
      <c r="D70" t="s">
        <v>13</v>
      </c>
    </row>
    <row r="71" spans="1:4" x14ac:dyDescent="0.3">
      <c r="A71">
        <v>70</v>
      </c>
      <c r="B71">
        <v>252</v>
      </c>
      <c r="C71" s="1">
        <v>45302</v>
      </c>
      <c r="D71" t="s">
        <v>11</v>
      </c>
    </row>
    <row r="72" spans="1:4" x14ac:dyDescent="0.3">
      <c r="A72">
        <v>71</v>
      </c>
      <c r="B72">
        <v>188</v>
      </c>
      <c r="C72" s="1">
        <v>45525</v>
      </c>
      <c r="D72" t="s">
        <v>11</v>
      </c>
    </row>
    <row r="73" spans="1:4" x14ac:dyDescent="0.3">
      <c r="A73">
        <v>72</v>
      </c>
      <c r="B73">
        <v>41</v>
      </c>
      <c r="C73" s="1">
        <v>45486</v>
      </c>
      <c r="D73" t="s">
        <v>11</v>
      </c>
    </row>
    <row r="74" spans="1:4" x14ac:dyDescent="0.3">
      <c r="A74">
        <v>73</v>
      </c>
      <c r="B74">
        <v>157</v>
      </c>
      <c r="C74" s="1">
        <v>45410</v>
      </c>
      <c r="D74" t="s">
        <v>13</v>
      </c>
    </row>
    <row r="75" spans="1:4" x14ac:dyDescent="0.3">
      <c r="A75">
        <v>74</v>
      </c>
      <c r="B75">
        <v>15</v>
      </c>
      <c r="C75" s="1">
        <v>45311</v>
      </c>
      <c r="D75" t="s">
        <v>13</v>
      </c>
    </row>
    <row r="76" spans="1:4" x14ac:dyDescent="0.3">
      <c r="A76">
        <v>75</v>
      </c>
      <c r="B76">
        <v>65</v>
      </c>
      <c r="C76" s="1">
        <v>45552</v>
      </c>
      <c r="D76" t="s">
        <v>11</v>
      </c>
    </row>
    <row r="77" spans="1:4" x14ac:dyDescent="0.3">
      <c r="A77">
        <v>76</v>
      </c>
      <c r="B77">
        <v>9</v>
      </c>
      <c r="C77" s="1">
        <v>45584</v>
      </c>
      <c r="D77" t="s">
        <v>12</v>
      </c>
    </row>
    <row r="78" spans="1:4" x14ac:dyDescent="0.3">
      <c r="A78">
        <v>77</v>
      </c>
      <c r="B78">
        <v>129</v>
      </c>
      <c r="C78" s="1">
        <v>45547</v>
      </c>
      <c r="D78" t="s">
        <v>11</v>
      </c>
    </row>
    <row r="79" spans="1:4" x14ac:dyDescent="0.3">
      <c r="A79">
        <v>78</v>
      </c>
      <c r="B79">
        <v>136</v>
      </c>
      <c r="C79" s="1">
        <v>45513</v>
      </c>
      <c r="D79" t="s">
        <v>11</v>
      </c>
    </row>
    <row r="80" spans="1:4" x14ac:dyDescent="0.3">
      <c r="A80">
        <v>79</v>
      </c>
      <c r="B80">
        <v>63</v>
      </c>
      <c r="C80" s="1">
        <v>45517</v>
      </c>
      <c r="D80" t="s">
        <v>11</v>
      </c>
    </row>
    <row r="81" spans="1:4" x14ac:dyDescent="0.3">
      <c r="A81">
        <v>80</v>
      </c>
      <c r="B81">
        <v>139</v>
      </c>
      <c r="C81" s="1">
        <v>45344</v>
      </c>
      <c r="D81" t="s">
        <v>11</v>
      </c>
    </row>
    <row r="82" spans="1:4" x14ac:dyDescent="0.3">
      <c r="A82">
        <v>81</v>
      </c>
      <c r="B82">
        <v>81</v>
      </c>
      <c r="C82" s="1">
        <v>45646</v>
      </c>
      <c r="D82" t="s">
        <v>11</v>
      </c>
    </row>
    <row r="83" spans="1:4" x14ac:dyDescent="0.3">
      <c r="A83">
        <v>82</v>
      </c>
      <c r="B83">
        <v>163</v>
      </c>
      <c r="C83" s="1">
        <v>45633</v>
      </c>
      <c r="D83" t="s">
        <v>12</v>
      </c>
    </row>
    <row r="84" spans="1:4" x14ac:dyDescent="0.3">
      <c r="A84">
        <v>83</v>
      </c>
      <c r="B84">
        <v>289</v>
      </c>
      <c r="C84" s="1">
        <v>45655</v>
      </c>
      <c r="D84" t="s">
        <v>11</v>
      </c>
    </row>
    <row r="85" spans="1:4" x14ac:dyDescent="0.3">
      <c r="A85">
        <v>84</v>
      </c>
      <c r="B85">
        <v>261</v>
      </c>
      <c r="C85" s="1">
        <v>45571</v>
      </c>
      <c r="D85" t="s">
        <v>11</v>
      </c>
    </row>
    <row r="86" spans="1:4" x14ac:dyDescent="0.3">
      <c r="A86">
        <v>85</v>
      </c>
      <c r="B86">
        <v>231</v>
      </c>
      <c r="C86" s="1">
        <v>45372</v>
      </c>
      <c r="D86" t="s">
        <v>11</v>
      </c>
    </row>
    <row r="87" spans="1:4" x14ac:dyDescent="0.3">
      <c r="A87">
        <v>86</v>
      </c>
      <c r="B87">
        <v>41</v>
      </c>
      <c r="C87" s="1">
        <v>45493</v>
      </c>
      <c r="D87" t="s">
        <v>11</v>
      </c>
    </row>
    <row r="88" spans="1:4" x14ac:dyDescent="0.3">
      <c r="A88">
        <v>87</v>
      </c>
      <c r="B88">
        <v>28</v>
      </c>
      <c r="C88" s="1">
        <v>45449</v>
      </c>
      <c r="D88" t="s">
        <v>11</v>
      </c>
    </row>
    <row r="89" spans="1:4" x14ac:dyDescent="0.3">
      <c r="A89">
        <v>88</v>
      </c>
      <c r="B89">
        <v>135</v>
      </c>
      <c r="C89" s="1">
        <v>45411</v>
      </c>
      <c r="D89" t="s">
        <v>11</v>
      </c>
    </row>
    <row r="90" spans="1:4" x14ac:dyDescent="0.3">
      <c r="A90">
        <v>89</v>
      </c>
      <c r="B90">
        <v>201</v>
      </c>
      <c r="C90" s="1">
        <v>45350</v>
      </c>
      <c r="D90" t="s">
        <v>11</v>
      </c>
    </row>
    <row r="91" spans="1:4" x14ac:dyDescent="0.3">
      <c r="A91">
        <v>90</v>
      </c>
      <c r="B91">
        <v>268</v>
      </c>
      <c r="C91" s="1">
        <v>45506</v>
      </c>
      <c r="D91" t="s">
        <v>13</v>
      </c>
    </row>
    <row r="92" spans="1:4" x14ac:dyDescent="0.3">
      <c r="A92">
        <v>91</v>
      </c>
      <c r="B92">
        <v>33</v>
      </c>
      <c r="C92" s="1">
        <v>45419</v>
      </c>
      <c r="D92" t="s">
        <v>11</v>
      </c>
    </row>
    <row r="93" spans="1:4" x14ac:dyDescent="0.3">
      <c r="A93">
        <v>92</v>
      </c>
      <c r="B93">
        <v>48</v>
      </c>
      <c r="C93" s="1">
        <v>45515</v>
      </c>
      <c r="D93" t="s">
        <v>11</v>
      </c>
    </row>
    <row r="94" spans="1:4" x14ac:dyDescent="0.3">
      <c r="A94">
        <v>93</v>
      </c>
      <c r="B94">
        <v>62</v>
      </c>
      <c r="C94" s="1">
        <v>45500</v>
      </c>
      <c r="D94" t="s">
        <v>11</v>
      </c>
    </row>
    <row r="95" spans="1:4" x14ac:dyDescent="0.3">
      <c r="A95">
        <v>94</v>
      </c>
      <c r="B95">
        <v>216</v>
      </c>
      <c r="C95" s="1">
        <v>45406</v>
      </c>
      <c r="D95" t="s">
        <v>11</v>
      </c>
    </row>
    <row r="96" spans="1:4" x14ac:dyDescent="0.3">
      <c r="A96">
        <v>95</v>
      </c>
      <c r="B96">
        <v>293</v>
      </c>
      <c r="C96" s="1">
        <v>45500</v>
      </c>
      <c r="D96" t="s">
        <v>11</v>
      </c>
    </row>
    <row r="97" spans="1:4" x14ac:dyDescent="0.3">
      <c r="A97">
        <v>96</v>
      </c>
      <c r="B97">
        <v>99</v>
      </c>
      <c r="C97" s="1">
        <v>45305</v>
      </c>
      <c r="D97" t="s">
        <v>11</v>
      </c>
    </row>
    <row r="98" spans="1:4" x14ac:dyDescent="0.3">
      <c r="A98">
        <v>97</v>
      </c>
      <c r="B98">
        <v>172</v>
      </c>
      <c r="C98" s="1">
        <v>45300</v>
      </c>
      <c r="D98" t="s">
        <v>13</v>
      </c>
    </row>
    <row r="99" spans="1:4" x14ac:dyDescent="0.3">
      <c r="A99">
        <v>98</v>
      </c>
      <c r="B99">
        <v>214</v>
      </c>
      <c r="C99" s="1">
        <v>45331</v>
      </c>
      <c r="D99" t="s">
        <v>11</v>
      </c>
    </row>
    <row r="100" spans="1:4" x14ac:dyDescent="0.3">
      <c r="A100">
        <v>99</v>
      </c>
      <c r="B100">
        <v>35</v>
      </c>
      <c r="C100" s="1">
        <v>45528</v>
      </c>
      <c r="D100" t="s">
        <v>13</v>
      </c>
    </row>
    <row r="101" spans="1:4" x14ac:dyDescent="0.3">
      <c r="A101">
        <v>100</v>
      </c>
      <c r="B101">
        <v>227</v>
      </c>
      <c r="C101" s="1">
        <v>45572</v>
      </c>
      <c r="D101" t="s">
        <v>12</v>
      </c>
    </row>
    <row r="102" spans="1:4" x14ac:dyDescent="0.3">
      <c r="A102">
        <v>101</v>
      </c>
      <c r="B102">
        <v>101</v>
      </c>
      <c r="C102" s="1">
        <v>45650</v>
      </c>
      <c r="D102" t="s">
        <v>11</v>
      </c>
    </row>
    <row r="103" spans="1:4" x14ac:dyDescent="0.3">
      <c r="A103">
        <v>102</v>
      </c>
      <c r="B103">
        <v>131</v>
      </c>
      <c r="C103" s="1">
        <v>45492</v>
      </c>
      <c r="D103" t="s">
        <v>13</v>
      </c>
    </row>
    <row r="104" spans="1:4" x14ac:dyDescent="0.3">
      <c r="A104">
        <v>103</v>
      </c>
      <c r="B104">
        <v>257</v>
      </c>
      <c r="C104" s="1">
        <v>45537</v>
      </c>
      <c r="D104" t="s">
        <v>11</v>
      </c>
    </row>
    <row r="105" spans="1:4" x14ac:dyDescent="0.3">
      <c r="A105">
        <v>104</v>
      </c>
      <c r="B105">
        <v>5</v>
      </c>
      <c r="C105" s="1">
        <v>45569</v>
      </c>
      <c r="D105" t="s">
        <v>12</v>
      </c>
    </row>
    <row r="106" spans="1:4" x14ac:dyDescent="0.3">
      <c r="A106">
        <v>105</v>
      </c>
      <c r="B106">
        <v>218</v>
      </c>
      <c r="C106" s="1">
        <v>45526</v>
      </c>
      <c r="D106" t="s">
        <v>11</v>
      </c>
    </row>
    <row r="107" spans="1:4" x14ac:dyDescent="0.3">
      <c r="A107">
        <v>106</v>
      </c>
      <c r="B107">
        <v>255</v>
      </c>
      <c r="C107" s="1">
        <v>45295</v>
      </c>
      <c r="D107" t="s">
        <v>12</v>
      </c>
    </row>
    <row r="108" spans="1:4" x14ac:dyDescent="0.3">
      <c r="A108">
        <v>107</v>
      </c>
      <c r="B108">
        <v>283</v>
      </c>
      <c r="C108" s="1">
        <v>45445</v>
      </c>
      <c r="D108" t="s">
        <v>12</v>
      </c>
    </row>
    <row r="109" spans="1:4" x14ac:dyDescent="0.3">
      <c r="A109">
        <v>108</v>
      </c>
      <c r="B109">
        <v>207</v>
      </c>
      <c r="C109" s="1">
        <v>45320</v>
      </c>
      <c r="D109" t="s">
        <v>12</v>
      </c>
    </row>
    <row r="110" spans="1:4" x14ac:dyDescent="0.3">
      <c r="A110">
        <v>109</v>
      </c>
      <c r="B110">
        <v>15</v>
      </c>
      <c r="C110" s="1">
        <v>45400</v>
      </c>
      <c r="D110" t="s">
        <v>11</v>
      </c>
    </row>
    <row r="111" spans="1:4" x14ac:dyDescent="0.3">
      <c r="A111">
        <v>110</v>
      </c>
      <c r="B111">
        <v>42</v>
      </c>
      <c r="C111" s="1">
        <v>45389</v>
      </c>
      <c r="D111" t="s">
        <v>11</v>
      </c>
    </row>
    <row r="112" spans="1:4" x14ac:dyDescent="0.3">
      <c r="A112">
        <v>111</v>
      </c>
      <c r="B112">
        <v>179</v>
      </c>
      <c r="C112" s="1">
        <v>45506</v>
      </c>
      <c r="D112" t="s">
        <v>11</v>
      </c>
    </row>
    <row r="113" spans="1:4" x14ac:dyDescent="0.3">
      <c r="A113">
        <v>112</v>
      </c>
      <c r="B113">
        <v>63</v>
      </c>
      <c r="C113" s="1">
        <v>45584</v>
      </c>
      <c r="D113" t="s">
        <v>11</v>
      </c>
    </row>
    <row r="114" spans="1:4" x14ac:dyDescent="0.3">
      <c r="A114">
        <v>113</v>
      </c>
      <c r="B114">
        <v>231</v>
      </c>
      <c r="C114" s="1">
        <v>45366</v>
      </c>
      <c r="D114" t="s">
        <v>11</v>
      </c>
    </row>
    <row r="115" spans="1:4" x14ac:dyDescent="0.3">
      <c r="A115">
        <v>114</v>
      </c>
      <c r="B115">
        <v>241</v>
      </c>
      <c r="C115" s="1">
        <v>45617</v>
      </c>
      <c r="D115" t="s">
        <v>11</v>
      </c>
    </row>
    <row r="116" spans="1:4" x14ac:dyDescent="0.3">
      <c r="A116">
        <v>115</v>
      </c>
      <c r="B116">
        <v>52</v>
      </c>
      <c r="C116" s="1">
        <v>45437</v>
      </c>
      <c r="D116" t="s">
        <v>11</v>
      </c>
    </row>
    <row r="117" spans="1:4" x14ac:dyDescent="0.3">
      <c r="A117">
        <v>116</v>
      </c>
      <c r="B117">
        <v>96</v>
      </c>
      <c r="C117" s="1">
        <v>45419</v>
      </c>
      <c r="D117" t="s">
        <v>13</v>
      </c>
    </row>
    <row r="118" spans="1:4" x14ac:dyDescent="0.3">
      <c r="A118">
        <v>117</v>
      </c>
      <c r="B118">
        <v>222</v>
      </c>
      <c r="C118" s="1">
        <v>45632</v>
      </c>
      <c r="D118" t="s">
        <v>11</v>
      </c>
    </row>
    <row r="119" spans="1:4" x14ac:dyDescent="0.3">
      <c r="A119">
        <v>118</v>
      </c>
      <c r="B119">
        <v>231</v>
      </c>
      <c r="C119" s="1">
        <v>45333</v>
      </c>
      <c r="D119" t="s">
        <v>12</v>
      </c>
    </row>
    <row r="120" spans="1:4" x14ac:dyDescent="0.3">
      <c r="A120">
        <v>119</v>
      </c>
      <c r="B120">
        <v>237</v>
      </c>
      <c r="C120" s="1">
        <v>45647</v>
      </c>
      <c r="D120" t="s">
        <v>11</v>
      </c>
    </row>
    <row r="121" spans="1:4" x14ac:dyDescent="0.3">
      <c r="A121">
        <v>120</v>
      </c>
      <c r="B121">
        <v>143</v>
      </c>
      <c r="C121" s="1">
        <v>45332</v>
      </c>
      <c r="D121" t="s">
        <v>12</v>
      </c>
    </row>
    <row r="122" spans="1:4" x14ac:dyDescent="0.3">
      <c r="A122">
        <v>121</v>
      </c>
      <c r="B122">
        <v>171</v>
      </c>
      <c r="C122" s="1">
        <v>45325</v>
      </c>
      <c r="D122" t="s">
        <v>13</v>
      </c>
    </row>
    <row r="123" spans="1:4" x14ac:dyDescent="0.3">
      <c r="A123">
        <v>122</v>
      </c>
      <c r="B123">
        <v>29</v>
      </c>
      <c r="C123" s="1">
        <v>45308</v>
      </c>
      <c r="D123" t="s">
        <v>11</v>
      </c>
    </row>
    <row r="124" spans="1:4" x14ac:dyDescent="0.3">
      <c r="A124">
        <v>123</v>
      </c>
      <c r="B124">
        <v>36</v>
      </c>
      <c r="C124" s="1">
        <v>45456</v>
      </c>
      <c r="D124" t="s">
        <v>11</v>
      </c>
    </row>
    <row r="125" spans="1:4" x14ac:dyDescent="0.3">
      <c r="A125">
        <v>124</v>
      </c>
      <c r="B125">
        <v>13</v>
      </c>
      <c r="C125" s="1">
        <v>45444</v>
      </c>
      <c r="D125" t="s">
        <v>11</v>
      </c>
    </row>
    <row r="126" spans="1:4" x14ac:dyDescent="0.3">
      <c r="A126">
        <v>125</v>
      </c>
      <c r="B126">
        <v>160</v>
      </c>
      <c r="C126" s="1">
        <v>45367</v>
      </c>
      <c r="D126" t="s">
        <v>11</v>
      </c>
    </row>
    <row r="127" spans="1:4" x14ac:dyDescent="0.3">
      <c r="A127">
        <v>126</v>
      </c>
      <c r="B127">
        <v>187</v>
      </c>
      <c r="C127" s="1">
        <v>45378</v>
      </c>
      <c r="D127" t="s">
        <v>11</v>
      </c>
    </row>
    <row r="128" spans="1:4" x14ac:dyDescent="0.3">
      <c r="A128">
        <v>127</v>
      </c>
      <c r="B128">
        <v>243</v>
      </c>
      <c r="C128" s="1">
        <v>45408</v>
      </c>
      <c r="D128" t="s">
        <v>11</v>
      </c>
    </row>
    <row r="129" spans="1:4" x14ac:dyDescent="0.3">
      <c r="A129">
        <v>128</v>
      </c>
      <c r="B129">
        <v>86</v>
      </c>
      <c r="C129" s="1">
        <v>45653</v>
      </c>
      <c r="D129" t="s">
        <v>11</v>
      </c>
    </row>
    <row r="130" spans="1:4" x14ac:dyDescent="0.3">
      <c r="A130">
        <v>129</v>
      </c>
      <c r="B130">
        <v>284</v>
      </c>
      <c r="C130" s="1">
        <v>45633</v>
      </c>
      <c r="D130" t="s">
        <v>11</v>
      </c>
    </row>
    <row r="131" spans="1:4" x14ac:dyDescent="0.3">
      <c r="A131">
        <v>130</v>
      </c>
      <c r="B131">
        <v>66</v>
      </c>
      <c r="C131" s="1">
        <v>45318</v>
      </c>
      <c r="D131" t="s">
        <v>11</v>
      </c>
    </row>
    <row r="132" spans="1:4" x14ac:dyDescent="0.3">
      <c r="A132">
        <v>131</v>
      </c>
      <c r="B132">
        <v>170</v>
      </c>
      <c r="C132" s="1">
        <v>45604</v>
      </c>
      <c r="D132" t="s">
        <v>11</v>
      </c>
    </row>
    <row r="133" spans="1:4" x14ac:dyDescent="0.3">
      <c r="A133">
        <v>132</v>
      </c>
      <c r="B133">
        <v>45</v>
      </c>
      <c r="C133" s="1">
        <v>45578</v>
      </c>
      <c r="D133" t="s">
        <v>11</v>
      </c>
    </row>
    <row r="134" spans="1:4" x14ac:dyDescent="0.3">
      <c r="A134">
        <v>133</v>
      </c>
      <c r="B134">
        <v>62</v>
      </c>
      <c r="C134" s="1">
        <v>45425</v>
      </c>
      <c r="D134" t="s">
        <v>13</v>
      </c>
    </row>
    <row r="135" spans="1:4" x14ac:dyDescent="0.3">
      <c r="A135">
        <v>134</v>
      </c>
      <c r="B135">
        <v>134</v>
      </c>
      <c r="C135" s="1">
        <v>45510</v>
      </c>
      <c r="D135" t="s">
        <v>11</v>
      </c>
    </row>
    <row r="136" spans="1:4" x14ac:dyDescent="0.3">
      <c r="A136">
        <v>135</v>
      </c>
      <c r="B136">
        <v>284</v>
      </c>
      <c r="C136" s="1">
        <v>45459</v>
      </c>
      <c r="D136" t="s">
        <v>13</v>
      </c>
    </row>
    <row r="137" spans="1:4" x14ac:dyDescent="0.3">
      <c r="A137">
        <v>136</v>
      </c>
      <c r="B137">
        <v>28</v>
      </c>
      <c r="C137" s="1">
        <v>45389</v>
      </c>
      <c r="D137" t="s">
        <v>11</v>
      </c>
    </row>
    <row r="138" spans="1:4" x14ac:dyDescent="0.3">
      <c r="A138">
        <v>137</v>
      </c>
      <c r="B138">
        <v>108</v>
      </c>
      <c r="C138" s="1">
        <v>45559</v>
      </c>
      <c r="D138" t="s">
        <v>11</v>
      </c>
    </row>
    <row r="139" spans="1:4" x14ac:dyDescent="0.3">
      <c r="A139">
        <v>138</v>
      </c>
      <c r="B139">
        <v>44</v>
      </c>
      <c r="C139" s="1">
        <v>45528</v>
      </c>
      <c r="D139" t="s">
        <v>11</v>
      </c>
    </row>
    <row r="140" spans="1:4" x14ac:dyDescent="0.3">
      <c r="A140">
        <v>139</v>
      </c>
      <c r="B140">
        <v>286</v>
      </c>
      <c r="C140" s="1">
        <v>45600</v>
      </c>
      <c r="D140" t="s">
        <v>11</v>
      </c>
    </row>
    <row r="141" spans="1:4" x14ac:dyDescent="0.3">
      <c r="A141">
        <v>140</v>
      </c>
      <c r="B141">
        <v>128</v>
      </c>
      <c r="C141" s="1">
        <v>45464</v>
      </c>
      <c r="D141" t="s">
        <v>11</v>
      </c>
    </row>
    <row r="142" spans="1:4" x14ac:dyDescent="0.3">
      <c r="A142">
        <v>141</v>
      </c>
      <c r="B142">
        <v>231</v>
      </c>
      <c r="C142" s="1">
        <v>45481</v>
      </c>
      <c r="D142" t="s">
        <v>11</v>
      </c>
    </row>
    <row r="143" spans="1:4" x14ac:dyDescent="0.3">
      <c r="A143">
        <v>142</v>
      </c>
      <c r="B143">
        <v>190</v>
      </c>
      <c r="C143" s="1">
        <v>45413</v>
      </c>
      <c r="D143" t="s">
        <v>11</v>
      </c>
    </row>
    <row r="144" spans="1:4" x14ac:dyDescent="0.3">
      <c r="A144">
        <v>143</v>
      </c>
      <c r="B144">
        <v>225</v>
      </c>
      <c r="C144" s="1">
        <v>45337</v>
      </c>
      <c r="D144" t="s">
        <v>11</v>
      </c>
    </row>
    <row r="145" spans="1:4" x14ac:dyDescent="0.3">
      <c r="A145">
        <v>144</v>
      </c>
      <c r="B145">
        <v>283</v>
      </c>
      <c r="C145" s="1">
        <v>45355</v>
      </c>
      <c r="D145" t="s">
        <v>11</v>
      </c>
    </row>
    <row r="146" spans="1:4" x14ac:dyDescent="0.3">
      <c r="A146">
        <v>145</v>
      </c>
      <c r="B146">
        <v>121</v>
      </c>
      <c r="C146" s="1">
        <v>45421</v>
      </c>
      <c r="D146" t="s">
        <v>11</v>
      </c>
    </row>
    <row r="147" spans="1:4" x14ac:dyDescent="0.3">
      <c r="A147">
        <v>146</v>
      </c>
      <c r="B147">
        <v>116</v>
      </c>
      <c r="C147" s="1">
        <v>45601</v>
      </c>
      <c r="D147" t="s">
        <v>11</v>
      </c>
    </row>
    <row r="148" spans="1:4" x14ac:dyDescent="0.3">
      <c r="A148">
        <v>147</v>
      </c>
      <c r="B148">
        <v>233</v>
      </c>
      <c r="C148" s="1">
        <v>45654</v>
      </c>
      <c r="D148" t="s">
        <v>11</v>
      </c>
    </row>
    <row r="149" spans="1:4" x14ac:dyDescent="0.3">
      <c r="A149">
        <v>148</v>
      </c>
      <c r="B149">
        <v>259</v>
      </c>
      <c r="C149" s="1">
        <v>45484</v>
      </c>
      <c r="D149" t="s">
        <v>11</v>
      </c>
    </row>
    <row r="150" spans="1:4" x14ac:dyDescent="0.3">
      <c r="A150">
        <v>149</v>
      </c>
      <c r="B150">
        <v>198</v>
      </c>
      <c r="C150" s="1">
        <v>45598</v>
      </c>
      <c r="D150" t="s">
        <v>11</v>
      </c>
    </row>
    <row r="151" spans="1:4" x14ac:dyDescent="0.3">
      <c r="A151">
        <v>150</v>
      </c>
      <c r="B151">
        <v>137</v>
      </c>
      <c r="C151" s="1">
        <v>45472</v>
      </c>
      <c r="D151" t="s">
        <v>13</v>
      </c>
    </row>
    <row r="152" spans="1:4" x14ac:dyDescent="0.3">
      <c r="A152">
        <v>151</v>
      </c>
      <c r="B152">
        <v>165</v>
      </c>
      <c r="C152" s="1">
        <v>45583</v>
      </c>
      <c r="D152" t="s">
        <v>11</v>
      </c>
    </row>
    <row r="153" spans="1:4" x14ac:dyDescent="0.3">
      <c r="A153">
        <v>152</v>
      </c>
      <c r="B153">
        <v>225</v>
      </c>
      <c r="C153" s="1">
        <v>45573</v>
      </c>
      <c r="D153" t="s">
        <v>11</v>
      </c>
    </row>
    <row r="154" spans="1:4" x14ac:dyDescent="0.3">
      <c r="A154">
        <v>153</v>
      </c>
      <c r="B154">
        <v>234</v>
      </c>
      <c r="C154" s="1">
        <v>45320</v>
      </c>
      <c r="D154" t="s">
        <v>13</v>
      </c>
    </row>
    <row r="155" spans="1:4" x14ac:dyDescent="0.3">
      <c r="A155">
        <v>154</v>
      </c>
      <c r="B155">
        <v>172</v>
      </c>
      <c r="C155" s="1">
        <v>45440</v>
      </c>
      <c r="D155" t="s">
        <v>11</v>
      </c>
    </row>
    <row r="156" spans="1:4" x14ac:dyDescent="0.3">
      <c r="A156">
        <v>155</v>
      </c>
      <c r="B156">
        <v>152</v>
      </c>
      <c r="C156" s="1">
        <v>45558</v>
      </c>
      <c r="D156" t="s">
        <v>11</v>
      </c>
    </row>
    <row r="157" spans="1:4" x14ac:dyDescent="0.3">
      <c r="A157">
        <v>156</v>
      </c>
      <c r="B157">
        <v>160</v>
      </c>
      <c r="C157" s="1">
        <v>45587</v>
      </c>
      <c r="D157" t="s">
        <v>11</v>
      </c>
    </row>
    <row r="158" spans="1:4" x14ac:dyDescent="0.3">
      <c r="A158">
        <v>157</v>
      </c>
      <c r="B158">
        <v>96</v>
      </c>
      <c r="C158" s="1">
        <v>45302</v>
      </c>
      <c r="D158" t="s">
        <v>11</v>
      </c>
    </row>
    <row r="159" spans="1:4" x14ac:dyDescent="0.3">
      <c r="A159">
        <v>158</v>
      </c>
      <c r="B159">
        <v>233</v>
      </c>
      <c r="C159" s="1">
        <v>45455</v>
      </c>
      <c r="D159" t="s">
        <v>11</v>
      </c>
    </row>
    <row r="160" spans="1:4" x14ac:dyDescent="0.3">
      <c r="A160">
        <v>159</v>
      </c>
      <c r="B160">
        <v>180</v>
      </c>
      <c r="C160" s="1">
        <v>45404</v>
      </c>
      <c r="D160" t="s">
        <v>11</v>
      </c>
    </row>
    <row r="161" spans="1:4" x14ac:dyDescent="0.3">
      <c r="A161">
        <v>160</v>
      </c>
      <c r="B161">
        <v>113</v>
      </c>
      <c r="C161" s="1">
        <v>45478</v>
      </c>
      <c r="D161" t="s">
        <v>11</v>
      </c>
    </row>
    <row r="162" spans="1:4" x14ac:dyDescent="0.3">
      <c r="A162">
        <v>161</v>
      </c>
      <c r="B162">
        <v>52</v>
      </c>
      <c r="C162" s="1">
        <v>45586</v>
      </c>
      <c r="D162" t="s">
        <v>11</v>
      </c>
    </row>
    <row r="163" spans="1:4" x14ac:dyDescent="0.3">
      <c r="A163">
        <v>162</v>
      </c>
      <c r="B163">
        <v>268</v>
      </c>
      <c r="C163" s="1">
        <v>45523</v>
      </c>
      <c r="D163" t="s">
        <v>13</v>
      </c>
    </row>
    <row r="164" spans="1:4" x14ac:dyDescent="0.3">
      <c r="A164">
        <v>163</v>
      </c>
      <c r="B164">
        <v>295</v>
      </c>
      <c r="C164" s="1">
        <v>45518</v>
      </c>
      <c r="D164" t="s">
        <v>12</v>
      </c>
    </row>
    <row r="165" spans="1:4" x14ac:dyDescent="0.3">
      <c r="A165">
        <v>164</v>
      </c>
      <c r="B165">
        <v>113</v>
      </c>
      <c r="C165" s="1">
        <v>45601</v>
      </c>
      <c r="D165" t="s">
        <v>11</v>
      </c>
    </row>
    <row r="166" spans="1:4" x14ac:dyDescent="0.3">
      <c r="A166">
        <v>165</v>
      </c>
      <c r="B166">
        <v>101</v>
      </c>
      <c r="C166" s="1">
        <v>45389</v>
      </c>
      <c r="D166" t="s">
        <v>11</v>
      </c>
    </row>
    <row r="167" spans="1:4" x14ac:dyDescent="0.3">
      <c r="A167">
        <v>166</v>
      </c>
      <c r="B167">
        <v>113</v>
      </c>
      <c r="C167" s="1">
        <v>45346</v>
      </c>
      <c r="D167" t="s">
        <v>11</v>
      </c>
    </row>
    <row r="168" spans="1:4" x14ac:dyDescent="0.3">
      <c r="A168">
        <v>167</v>
      </c>
      <c r="B168">
        <v>81</v>
      </c>
      <c r="C168" s="1">
        <v>45402</v>
      </c>
      <c r="D168" t="s">
        <v>11</v>
      </c>
    </row>
    <row r="169" spans="1:4" x14ac:dyDescent="0.3">
      <c r="A169">
        <v>168</v>
      </c>
      <c r="B169">
        <v>187</v>
      </c>
      <c r="C169" s="1">
        <v>45443</v>
      </c>
      <c r="D169" t="s">
        <v>11</v>
      </c>
    </row>
    <row r="170" spans="1:4" x14ac:dyDescent="0.3">
      <c r="A170">
        <v>169</v>
      </c>
      <c r="B170">
        <v>113</v>
      </c>
      <c r="C170" s="1">
        <v>45537</v>
      </c>
      <c r="D170" t="s">
        <v>11</v>
      </c>
    </row>
    <row r="171" spans="1:4" x14ac:dyDescent="0.3">
      <c r="A171">
        <v>170</v>
      </c>
      <c r="B171">
        <v>2</v>
      </c>
      <c r="C171" s="1">
        <v>45360</v>
      </c>
      <c r="D171" t="s">
        <v>12</v>
      </c>
    </row>
    <row r="172" spans="1:4" x14ac:dyDescent="0.3">
      <c r="A172">
        <v>171</v>
      </c>
      <c r="B172">
        <v>130</v>
      </c>
      <c r="C172" s="1">
        <v>45603</v>
      </c>
      <c r="D172" t="s">
        <v>11</v>
      </c>
    </row>
    <row r="173" spans="1:4" x14ac:dyDescent="0.3">
      <c r="A173">
        <v>172</v>
      </c>
      <c r="B173">
        <v>220</v>
      </c>
      <c r="C173" s="1">
        <v>45580</v>
      </c>
      <c r="D173" t="s">
        <v>11</v>
      </c>
    </row>
    <row r="174" spans="1:4" x14ac:dyDescent="0.3">
      <c r="A174">
        <v>173</v>
      </c>
      <c r="B174">
        <v>54</v>
      </c>
      <c r="C174" s="1">
        <v>45541</v>
      </c>
      <c r="D174" t="s">
        <v>11</v>
      </c>
    </row>
    <row r="175" spans="1:4" x14ac:dyDescent="0.3">
      <c r="A175">
        <v>174</v>
      </c>
      <c r="B175">
        <v>224</v>
      </c>
      <c r="C175" s="1">
        <v>45327</v>
      </c>
      <c r="D175" t="s">
        <v>11</v>
      </c>
    </row>
    <row r="176" spans="1:4" x14ac:dyDescent="0.3">
      <c r="A176">
        <v>175</v>
      </c>
      <c r="B176">
        <v>225</v>
      </c>
      <c r="C176" s="1">
        <v>45530</v>
      </c>
      <c r="D176" t="s">
        <v>12</v>
      </c>
    </row>
    <row r="177" spans="1:4" x14ac:dyDescent="0.3">
      <c r="A177">
        <v>176</v>
      </c>
      <c r="B177">
        <v>126</v>
      </c>
      <c r="C177" s="1">
        <v>45439</v>
      </c>
      <c r="D177" t="s">
        <v>11</v>
      </c>
    </row>
    <row r="178" spans="1:4" x14ac:dyDescent="0.3">
      <c r="A178">
        <v>177</v>
      </c>
      <c r="B178">
        <v>130</v>
      </c>
      <c r="C178" s="1">
        <v>45518</v>
      </c>
      <c r="D178" t="s">
        <v>11</v>
      </c>
    </row>
    <row r="179" spans="1:4" x14ac:dyDescent="0.3">
      <c r="A179">
        <v>178</v>
      </c>
      <c r="B179">
        <v>53</v>
      </c>
      <c r="C179" s="1">
        <v>45535</v>
      </c>
      <c r="D179" t="s">
        <v>11</v>
      </c>
    </row>
    <row r="180" spans="1:4" x14ac:dyDescent="0.3">
      <c r="A180">
        <v>179</v>
      </c>
      <c r="B180">
        <v>172</v>
      </c>
      <c r="C180" s="1">
        <v>45628</v>
      </c>
      <c r="D180" t="s">
        <v>11</v>
      </c>
    </row>
    <row r="181" spans="1:4" x14ac:dyDescent="0.3">
      <c r="A181">
        <v>180</v>
      </c>
      <c r="B181">
        <v>218</v>
      </c>
      <c r="C181" s="1">
        <v>45656</v>
      </c>
      <c r="D181" t="s">
        <v>11</v>
      </c>
    </row>
    <row r="182" spans="1:4" x14ac:dyDescent="0.3">
      <c r="A182">
        <v>181</v>
      </c>
      <c r="B182">
        <v>160</v>
      </c>
      <c r="C182" s="1">
        <v>45492</v>
      </c>
      <c r="D182" t="s">
        <v>11</v>
      </c>
    </row>
    <row r="183" spans="1:4" x14ac:dyDescent="0.3">
      <c r="A183">
        <v>182</v>
      </c>
      <c r="B183">
        <v>198</v>
      </c>
      <c r="C183" s="1">
        <v>45445</v>
      </c>
      <c r="D183" t="s">
        <v>11</v>
      </c>
    </row>
    <row r="184" spans="1:4" x14ac:dyDescent="0.3">
      <c r="A184">
        <v>183</v>
      </c>
      <c r="B184">
        <v>247</v>
      </c>
      <c r="C184" s="1">
        <v>45364</v>
      </c>
      <c r="D184" t="s">
        <v>11</v>
      </c>
    </row>
    <row r="185" spans="1:4" x14ac:dyDescent="0.3">
      <c r="A185">
        <v>184</v>
      </c>
      <c r="B185">
        <v>203</v>
      </c>
      <c r="C185" s="1">
        <v>45492</v>
      </c>
      <c r="D185" t="s">
        <v>11</v>
      </c>
    </row>
    <row r="186" spans="1:4" x14ac:dyDescent="0.3">
      <c r="A186">
        <v>185</v>
      </c>
      <c r="B186">
        <v>184</v>
      </c>
      <c r="C186" s="1">
        <v>45587</v>
      </c>
      <c r="D186" t="s">
        <v>11</v>
      </c>
    </row>
    <row r="187" spans="1:4" x14ac:dyDescent="0.3">
      <c r="A187">
        <v>186</v>
      </c>
      <c r="B187">
        <v>123</v>
      </c>
      <c r="C187" s="1">
        <v>45308</v>
      </c>
      <c r="D187" t="s">
        <v>11</v>
      </c>
    </row>
    <row r="188" spans="1:4" x14ac:dyDescent="0.3">
      <c r="A188">
        <v>187</v>
      </c>
      <c r="B188">
        <v>255</v>
      </c>
      <c r="C188" s="1">
        <v>45420</v>
      </c>
      <c r="D188" t="s">
        <v>11</v>
      </c>
    </row>
    <row r="189" spans="1:4" x14ac:dyDescent="0.3">
      <c r="A189">
        <v>188</v>
      </c>
      <c r="B189">
        <v>294</v>
      </c>
      <c r="C189" s="1">
        <v>45508</v>
      </c>
      <c r="D189" t="s">
        <v>11</v>
      </c>
    </row>
    <row r="190" spans="1:4" x14ac:dyDescent="0.3">
      <c r="A190">
        <v>189</v>
      </c>
      <c r="B190">
        <v>280</v>
      </c>
      <c r="C190" s="1">
        <v>45352</v>
      </c>
      <c r="D190" t="s">
        <v>13</v>
      </c>
    </row>
    <row r="191" spans="1:4" x14ac:dyDescent="0.3">
      <c r="A191">
        <v>190</v>
      </c>
      <c r="B191">
        <v>98</v>
      </c>
      <c r="C191" s="1">
        <v>45395</v>
      </c>
      <c r="D191" t="s">
        <v>12</v>
      </c>
    </row>
    <row r="192" spans="1:4" x14ac:dyDescent="0.3">
      <c r="A192">
        <v>191</v>
      </c>
      <c r="B192">
        <v>198</v>
      </c>
      <c r="C192" s="1">
        <v>45333</v>
      </c>
      <c r="D192" t="s">
        <v>13</v>
      </c>
    </row>
    <row r="193" spans="1:4" x14ac:dyDescent="0.3">
      <c r="A193">
        <v>192</v>
      </c>
      <c r="B193">
        <v>240</v>
      </c>
      <c r="C193" s="1">
        <v>45316</v>
      </c>
      <c r="D193" t="s">
        <v>11</v>
      </c>
    </row>
    <row r="194" spans="1:4" x14ac:dyDescent="0.3">
      <c r="A194">
        <v>193</v>
      </c>
      <c r="B194">
        <v>144</v>
      </c>
      <c r="C194" s="1">
        <v>45330</v>
      </c>
      <c r="D194" t="s">
        <v>11</v>
      </c>
    </row>
    <row r="195" spans="1:4" x14ac:dyDescent="0.3">
      <c r="A195">
        <v>194</v>
      </c>
      <c r="B195">
        <v>97</v>
      </c>
      <c r="C195" s="1">
        <v>45582</v>
      </c>
      <c r="D195" t="s">
        <v>11</v>
      </c>
    </row>
    <row r="196" spans="1:4" x14ac:dyDescent="0.3">
      <c r="A196">
        <v>195</v>
      </c>
      <c r="B196">
        <v>201</v>
      </c>
      <c r="C196" s="1">
        <v>45422</v>
      </c>
      <c r="D196" t="s">
        <v>11</v>
      </c>
    </row>
    <row r="197" spans="1:4" x14ac:dyDescent="0.3">
      <c r="A197">
        <v>196</v>
      </c>
      <c r="B197">
        <v>124</v>
      </c>
      <c r="C197" s="1">
        <v>45520</v>
      </c>
      <c r="D197" t="s">
        <v>12</v>
      </c>
    </row>
    <row r="198" spans="1:4" x14ac:dyDescent="0.3">
      <c r="A198">
        <v>197</v>
      </c>
      <c r="B198">
        <v>187</v>
      </c>
      <c r="C198" s="1">
        <v>45399</v>
      </c>
      <c r="D198" t="s">
        <v>11</v>
      </c>
    </row>
    <row r="199" spans="1:4" x14ac:dyDescent="0.3">
      <c r="A199">
        <v>198</v>
      </c>
      <c r="B199">
        <v>259</v>
      </c>
      <c r="C199" s="1">
        <v>45463</v>
      </c>
      <c r="D199" t="s">
        <v>11</v>
      </c>
    </row>
    <row r="200" spans="1:4" x14ac:dyDescent="0.3">
      <c r="A200">
        <v>199</v>
      </c>
      <c r="B200">
        <v>148</v>
      </c>
      <c r="C200" s="1">
        <v>45393</v>
      </c>
      <c r="D200" t="s">
        <v>11</v>
      </c>
    </row>
    <row r="201" spans="1:4" x14ac:dyDescent="0.3">
      <c r="A201">
        <v>200</v>
      </c>
      <c r="B201">
        <v>252</v>
      </c>
      <c r="C201" s="1">
        <v>45645</v>
      </c>
      <c r="D201" t="s">
        <v>11</v>
      </c>
    </row>
    <row r="202" spans="1:4" x14ac:dyDescent="0.3">
      <c r="A202">
        <v>201</v>
      </c>
      <c r="B202">
        <v>147</v>
      </c>
      <c r="C202" s="1">
        <v>45303</v>
      </c>
      <c r="D202" t="s">
        <v>11</v>
      </c>
    </row>
    <row r="203" spans="1:4" x14ac:dyDescent="0.3">
      <c r="A203">
        <v>202</v>
      </c>
      <c r="B203">
        <v>148</v>
      </c>
      <c r="C203" s="1">
        <v>45566</v>
      </c>
      <c r="D203" t="s">
        <v>11</v>
      </c>
    </row>
    <row r="204" spans="1:4" x14ac:dyDescent="0.3">
      <c r="A204">
        <v>203</v>
      </c>
      <c r="B204">
        <v>199</v>
      </c>
      <c r="C204" s="1">
        <v>45392</v>
      </c>
      <c r="D204" t="s">
        <v>11</v>
      </c>
    </row>
    <row r="205" spans="1:4" x14ac:dyDescent="0.3">
      <c r="A205">
        <v>204</v>
      </c>
      <c r="B205">
        <v>128</v>
      </c>
      <c r="C205" s="1">
        <v>45335</v>
      </c>
      <c r="D205" t="s">
        <v>11</v>
      </c>
    </row>
    <row r="206" spans="1:4" x14ac:dyDescent="0.3">
      <c r="A206">
        <v>205</v>
      </c>
      <c r="B206">
        <v>39</v>
      </c>
      <c r="C206" s="1">
        <v>45596</v>
      </c>
      <c r="D206" t="s">
        <v>11</v>
      </c>
    </row>
    <row r="207" spans="1:4" x14ac:dyDescent="0.3">
      <c r="A207">
        <v>206</v>
      </c>
      <c r="B207">
        <v>129</v>
      </c>
      <c r="C207" s="1">
        <v>45308</v>
      </c>
      <c r="D207" t="s">
        <v>11</v>
      </c>
    </row>
    <row r="208" spans="1:4" x14ac:dyDescent="0.3">
      <c r="A208">
        <v>207</v>
      </c>
      <c r="B208">
        <v>267</v>
      </c>
      <c r="C208" s="1">
        <v>45621</v>
      </c>
      <c r="D208" t="s">
        <v>12</v>
      </c>
    </row>
    <row r="209" spans="1:4" x14ac:dyDescent="0.3">
      <c r="A209">
        <v>208</v>
      </c>
      <c r="B209">
        <v>151</v>
      </c>
      <c r="C209" s="1">
        <v>45348</v>
      </c>
      <c r="D209" t="s">
        <v>13</v>
      </c>
    </row>
    <row r="210" spans="1:4" x14ac:dyDescent="0.3">
      <c r="A210">
        <v>209</v>
      </c>
      <c r="B210">
        <v>298</v>
      </c>
      <c r="C210" s="1">
        <v>45602</v>
      </c>
      <c r="D210" t="s">
        <v>11</v>
      </c>
    </row>
    <row r="211" spans="1:4" x14ac:dyDescent="0.3">
      <c r="A211">
        <v>210</v>
      </c>
      <c r="B211">
        <v>99</v>
      </c>
      <c r="C211" s="1">
        <v>45594</v>
      </c>
      <c r="D211" t="s">
        <v>11</v>
      </c>
    </row>
    <row r="212" spans="1:4" x14ac:dyDescent="0.3">
      <c r="A212">
        <v>211</v>
      </c>
      <c r="B212">
        <v>263</v>
      </c>
      <c r="C212" s="1">
        <v>45303</v>
      </c>
      <c r="D212" t="s">
        <v>11</v>
      </c>
    </row>
    <row r="213" spans="1:4" x14ac:dyDescent="0.3">
      <c r="A213">
        <v>212</v>
      </c>
      <c r="B213">
        <v>252</v>
      </c>
      <c r="C213" s="1">
        <v>45609</v>
      </c>
      <c r="D213" t="s">
        <v>11</v>
      </c>
    </row>
    <row r="214" spans="1:4" x14ac:dyDescent="0.3">
      <c r="A214">
        <v>213</v>
      </c>
      <c r="B214">
        <v>144</v>
      </c>
      <c r="C214" s="1">
        <v>45371</v>
      </c>
      <c r="D214" t="s">
        <v>11</v>
      </c>
    </row>
    <row r="215" spans="1:4" x14ac:dyDescent="0.3">
      <c r="A215">
        <v>214</v>
      </c>
      <c r="B215">
        <v>112</v>
      </c>
      <c r="C215" s="1">
        <v>45507</v>
      </c>
      <c r="D215" t="s">
        <v>12</v>
      </c>
    </row>
    <row r="216" spans="1:4" x14ac:dyDescent="0.3">
      <c r="A216">
        <v>215</v>
      </c>
      <c r="B216">
        <v>60</v>
      </c>
      <c r="C216" s="1">
        <v>45630</v>
      </c>
      <c r="D216" t="s">
        <v>11</v>
      </c>
    </row>
    <row r="217" spans="1:4" x14ac:dyDescent="0.3">
      <c r="A217">
        <v>216</v>
      </c>
      <c r="B217">
        <v>2</v>
      </c>
      <c r="C217" s="1">
        <v>45555</v>
      </c>
      <c r="D217" t="s">
        <v>13</v>
      </c>
    </row>
    <row r="218" spans="1:4" x14ac:dyDescent="0.3">
      <c r="A218">
        <v>217</v>
      </c>
      <c r="B218">
        <v>254</v>
      </c>
      <c r="C218" s="1">
        <v>45440</v>
      </c>
      <c r="D218" t="s">
        <v>11</v>
      </c>
    </row>
    <row r="219" spans="1:4" x14ac:dyDescent="0.3">
      <c r="A219">
        <v>218</v>
      </c>
      <c r="B219">
        <v>140</v>
      </c>
      <c r="C219" s="1">
        <v>45372</v>
      </c>
      <c r="D219" t="s">
        <v>11</v>
      </c>
    </row>
    <row r="220" spans="1:4" x14ac:dyDescent="0.3">
      <c r="A220">
        <v>219</v>
      </c>
      <c r="B220">
        <v>37</v>
      </c>
      <c r="C220" s="1">
        <v>45506</v>
      </c>
      <c r="D220" t="s">
        <v>11</v>
      </c>
    </row>
    <row r="221" spans="1:4" x14ac:dyDescent="0.3">
      <c r="A221">
        <v>220</v>
      </c>
      <c r="B221">
        <v>160</v>
      </c>
      <c r="C221" s="1">
        <v>45489</v>
      </c>
      <c r="D221" t="s">
        <v>12</v>
      </c>
    </row>
    <row r="222" spans="1:4" x14ac:dyDescent="0.3">
      <c r="A222">
        <v>221</v>
      </c>
      <c r="B222">
        <v>9</v>
      </c>
      <c r="C222" s="1">
        <v>45491</v>
      </c>
      <c r="D222" t="s">
        <v>11</v>
      </c>
    </row>
    <row r="223" spans="1:4" x14ac:dyDescent="0.3">
      <c r="A223">
        <v>222</v>
      </c>
      <c r="B223">
        <v>233</v>
      </c>
      <c r="C223" s="1">
        <v>45316</v>
      </c>
      <c r="D223" t="s">
        <v>11</v>
      </c>
    </row>
    <row r="224" spans="1:4" x14ac:dyDescent="0.3">
      <c r="A224">
        <v>223</v>
      </c>
      <c r="B224">
        <v>99</v>
      </c>
      <c r="C224" s="1">
        <v>45380</v>
      </c>
      <c r="D224" t="s">
        <v>11</v>
      </c>
    </row>
    <row r="225" spans="1:4" x14ac:dyDescent="0.3">
      <c r="A225">
        <v>224</v>
      </c>
      <c r="B225">
        <v>147</v>
      </c>
      <c r="C225" s="1">
        <v>45559</v>
      </c>
      <c r="D225" t="s">
        <v>11</v>
      </c>
    </row>
    <row r="226" spans="1:4" x14ac:dyDescent="0.3">
      <c r="A226">
        <v>225</v>
      </c>
      <c r="B226">
        <v>208</v>
      </c>
      <c r="C226" s="1">
        <v>45434</v>
      </c>
      <c r="D226" t="s">
        <v>11</v>
      </c>
    </row>
    <row r="227" spans="1:4" x14ac:dyDescent="0.3">
      <c r="A227">
        <v>226</v>
      </c>
      <c r="B227">
        <v>131</v>
      </c>
      <c r="C227" s="1">
        <v>45350</v>
      </c>
      <c r="D227" t="s">
        <v>11</v>
      </c>
    </row>
    <row r="228" spans="1:4" x14ac:dyDescent="0.3">
      <c r="A228">
        <v>227</v>
      </c>
      <c r="B228">
        <v>152</v>
      </c>
      <c r="C228" s="1">
        <v>45656</v>
      </c>
      <c r="D228" t="s">
        <v>11</v>
      </c>
    </row>
    <row r="229" spans="1:4" x14ac:dyDescent="0.3">
      <c r="A229">
        <v>228</v>
      </c>
      <c r="B229">
        <v>54</v>
      </c>
      <c r="C229" s="1">
        <v>45317</v>
      </c>
      <c r="D229" t="s">
        <v>11</v>
      </c>
    </row>
    <row r="230" spans="1:4" x14ac:dyDescent="0.3">
      <c r="A230">
        <v>229</v>
      </c>
      <c r="B230">
        <v>120</v>
      </c>
      <c r="C230" s="1">
        <v>45338</v>
      </c>
      <c r="D230" t="s">
        <v>11</v>
      </c>
    </row>
    <row r="231" spans="1:4" x14ac:dyDescent="0.3">
      <c r="A231">
        <v>230</v>
      </c>
      <c r="B231">
        <v>161</v>
      </c>
      <c r="C231" s="1">
        <v>45579</v>
      </c>
      <c r="D231" t="s">
        <v>11</v>
      </c>
    </row>
    <row r="232" spans="1:4" x14ac:dyDescent="0.3">
      <c r="A232">
        <v>231</v>
      </c>
      <c r="B232">
        <v>116</v>
      </c>
      <c r="C232" s="1">
        <v>45557</v>
      </c>
      <c r="D232" t="s">
        <v>11</v>
      </c>
    </row>
    <row r="233" spans="1:4" x14ac:dyDescent="0.3">
      <c r="A233">
        <v>232</v>
      </c>
      <c r="B233">
        <v>75</v>
      </c>
      <c r="C233" s="1">
        <v>45307</v>
      </c>
      <c r="D233" t="s">
        <v>11</v>
      </c>
    </row>
    <row r="234" spans="1:4" x14ac:dyDescent="0.3">
      <c r="A234">
        <v>233</v>
      </c>
      <c r="B234">
        <v>113</v>
      </c>
      <c r="C234" s="1">
        <v>45490</v>
      </c>
      <c r="D234" t="s">
        <v>11</v>
      </c>
    </row>
    <row r="235" spans="1:4" x14ac:dyDescent="0.3">
      <c r="A235">
        <v>234</v>
      </c>
      <c r="B235">
        <v>104</v>
      </c>
      <c r="C235" s="1">
        <v>45573</v>
      </c>
      <c r="D235" t="s">
        <v>11</v>
      </c>
    </row>
    <row r="236" spans="1:4" x14ac:dyDescent="0.3">
      <c r="A236">
        <v>235</v>
      </c>
      <c r="B236">
        <v>254</v>
      </c>
      <c r="C236" s="1">
        <v>45377</v>
      </c>
      <c r="D236" t="s">
        <v>13</v>
      </c>
    </row>
    <row r="237" spans="1:4" x14ac:dyDescent="0.3">
      <c r="A237">
        <v>236</v>
      </c>
      <c r="B237">
        <v>227</v>
      </c>
      <c r="C237" s="1">
        <v>45541</v>
      </c>
      <c r="D237" t="s">
        <v>11</v>
      </c>
    </row>
    <row r="238" spans="1:4" x14ac:dyDescent="0.3">
      <c r="A238">
        <v>237</v>
      </c>
      <c r="B238">
        <v>112</v>
      </c>
      <c r="C238" s="1">
        <v>45561</v>
      </c>
      <c r="D238" t="s">
        <v>11</v>
      </c>
    </row>
    <row r="239" spans="1:4" x14ac:dyDescent="0.3">
      <c r="A239">
        <v>238</v>
      </c>
      <c r="B239">
        <v>99</v>
      </c>
      <c r="C239" s="1">
        <v>45626</v>
      </c>
      <c r="D239" t="s">
        <v>11</v>
      </c>
    </row>
    <row r="240" spans="1:4" x14ac:dyDescent="0.3">
      <c r="A240">
        <v>239</v>
      </c>
      <c r="B240">
        <v>153</v>
      </c>
      <c r="C240" s="1">
        <v>45408</v>
      </c>
      <c r="D240" t="s">
        <v>11</v>
      </c>
    </row>
    <row r="241" spans="1:4" x14ac:dyDescent="0.3">
      <c r="A241">
        <v>240</v>
      </c>
      <c r="B241">
        <v>194</v>
      </c>
      <c r="C241" s="1">
        <v>45298</v>
      </c>
      <c r="D241" t="s">
        <v>11</v>
      </c>
    </row>
    <row r="242" spans="1:4" x14ac:dyDescent="0.3">
      <c r="A242">
        <v>241</v>
      </c>
      <c r="B242">
        <v>163</v>
      </c>
      <c r="C242" s="1">
        <v>45428</v>
      </c>
      <c r="D242" t="s">
        <v>11</v>
      </c>
    </row>
    <row r="243" spans="1:4" x14ac:dyDescent="0.3">
      <c r="A243">
        <v>242</v>
      </c>
      <c r="B243">
        <v>208</v>
      </c>
      <c r="C243" s="1">
        <v>45467</v>
      </c>
      <c r="D243" t="s">
        <v>11</v>
      </c>
    </row>
    <row r="244" spans="1:4" x14ac:dyDescent="0.3">
      <c r="A244">
        <v>243</v>
      </c>
      <c r="B244">
        <v>169</v>
      </c>
      <c r="C244" s="1">
        <v>45619</v>
      </c>
      <c r="D244" t="s">
        <v>11</v>
      </c>
    </row>
    <row r="245" spans="1:4" x14ac:dyDescent="0.3">
      <c r="A245">
        <v>244</v>
      </c>
      <c r="B245">
        <v>161</v>
      </c>
      <c r="C245" s="1">
        <v>45606</v>
      </c>
      <c r="D245" t="s">
        <v>11</v>
      </c>
    </row>
    <row r="246" spans="1:4" x14ac:dyDescent="0.3">
      <c r="A246">
        <v>245</v>
      </c>
      <c r="B246">
        <v>68</v>
      </c>
      <c r="C246" s="1">
        <v>45506</v>
      </c>
      <c r="D246" t="s">
        <v>11</v>
      </c>
    </row>
    <row r="247" spans="1:4" x14ac:dyDescent="0.3">
      <c r="A247">
        <v>246</v>
      </c>
      <c r="B247">
        <v>289</v>
      </c>
      <c r="C247" s="1">
        <v>45373</v>
      </c>
      <c r="D247" t="s">
        <v>11</v>
      </c>
    </row>
    <row r="248" spans="1:4" x14ac:dyDescent="0.3">
      <c r="A248">
        <v>247</v>
      </c>
      <c r="B248">
        <v>277</v>
      </c>
      <c r="C248" s="1">
        <v>45514</v>
      </c>
      <c r="D248" t="s">
        <v>11</v>
      </c>
    </row>
    <row r="249" spans="1:4" x14ac:dyDescent="0.3">
      <c r="A249">
        <v>248</v>
      </c>
      <c r="B249">
        <v>135</v>
      </c>
      <c r="C249" s="1">
        <v>45394</v>
      </c>
      <c r="D249" t="s">
        <v>11</v>
      </c>
    </row>
    <row r="250" spans="1:4" x14ac:dyDescent="0.3">
      <c r="A250">
        <v>249</v>
      </c>
      <c r="B250">
        <v>195</v>
      </c>
      <c r="C250" s="1">
        <v>45564</v>
      </c>
      <c r="D250" t="s">
        <v>11</v>
      </c>
    </row>
    <row r="251" spans="1:4" x14ac:dyDescent="0.3">
      <c r="A251">
        <v>250</v>
      </c>
      <c r="B251">
        <v>128</v>
      </c>
      <c r="C251" s="1">
        <v>45305</v>
      </c>
      <c r="D251" t="s">
        <v>13</v>
      </c>
    </row>
    <row r="252" spans="1:4" x14ac:dyDescent="0.3">
      <c r="A252">
        <v>251</v>
      </c>
      <c r="B252">
        <v>33</v>
      </c>
      <c r="C252" s="1">
        <v>45450</v>
      </c>
      <c r="D252" t="s">
        <v>11</v>
      </c>
    </row>
    <row r="253" spans="1:4" x14ac:dyDescent="0.3">
      <c r="A253">
        <v>252</v>
      </c>
      <c r="B253">
        <v>176</v>
      </c>
      <c r="C253" s="1">
        <v>45443</v>
      </c>
      <c r="D253" t="s">
        <v>11</v>
      </c>
    </row>
    <row r="254" spans="1:4" x14ac:dyDescent="0.3">
      <c r="A254">
        <v>253</v>
      </c>
      <c r="B254">
        <v>22</v>
      </c>
      <c r="C254" s="1">
        <v>45399</v>
      </c>
      <c r="D254" t="s">
        <v>11</v>
      </c>
    </row>
    <row r="255" spans="1:4" x14ac:dyDescent="0.3">
      <c r="A255">
        <v>254</v>
      </c>
      <c r="B255">
        <v>238</v>
      </c>
      <c r="C255" s="1">
        <v>45479</v>
      </c>
      <c r="D255" t="s">
        <v>11</v>
      </c>
    </row>
    <row r="256" spans="1:4" x14ac:dyDescent="0.3">
      <c r="A256">
        <v>255</v>
      </c>
      <c r="B256">
        <v>158</v>
      </c>
      <c r="C256" s="1">
        <v>45592</v>
      </c>
      <c r="D256" t="s">
        <v>11</v>
      </c>
    </row>
    <row r="257" spans="1:4" x14ac:dyDescent="0.3">
      <c r="A257">
        <v>256</v>
      </c>
      <c r="B257">
        <v>38</v>
      </c>
      <c r="C257" s="1">
        <v>45389</v>
      </c>
      <c r="D257" t="s">
        <v>11</v>
      </c>
    </row>
    <row r="258" spans="1:4" x14ac:dyDescent="0.3">
      <c r="A258">
        <v>257</v>
      </c>
      <c r="B258">
        <v>230</v>
      </c>
      <c r="C258" s="1">
        <v>45422</v>
      </c>
      <c r="D258" t="s">
        <v>11</v>
      </c>
    </row>
    <row r="259" spans="1:4" x14ac:dyDescent="0.3">
      <c r="A259">
        <v>258</v>
      </c>
      <c r="B259">
        <v>51</v>
      </c>
      <c r="C259" s="1">
        <v>45584</v>
      </c>
      <c r="D259" t="s">
        <v>11</v>
      </c>
    </row>
    <row r="260" spans="1:4" x14ac:dyDescent="0.3">
      <c r="A260">
        <v>259</v>
      </c>
      <c r="B260">
        <v>264</v>
      </c>
      <c r="C260" s="1">
        <v>45462</v>
      </c>
      <c r="D260" t="s">
        <v>11</v>
      </c>
    </row>
    <row r="261" spans="1:4" x14ac:dyDescent="0.3">
      <c r="A261">
        <v>260</v>
      </c>
      <c r="B261">
        <v>283</v>
      </c>
      <c r="C261" s="1">
        <v>45474</v>
      </c>
      <c r="D261" t="s">
        <v>11</v>
      </c>
    </row>
    <row r="262" spans="1:4" x14ac:dyDescent="0.3">
      <c r="A262">
        <v>261</v>
      </c>
      <c r="B262">
        <v>27</v>
      </c>
      <c r="C262" s="1">
        <v>45655</v>
      </c>
      <c r="D262" t="s">
        <v>11</v>
      </c>
    </row>
    <row r="263" spans="1:4" x14ac:dyDescent="0.3">
      <c r="A263">
        <v>262</v>
      </c>
      <c r="B263">
        <v>226</v>
      </c>
      <c r="C263" s="1">
        <v>45330</v>
      </c>
      <c r="D263" t="s">
        <v>13</v>
      </c>
    </row>
    <row r="264" spans="1:4" x14ac:dyDescent="0.3">
      <c r="A264">
        <v>263</v>
      </c>
      <c r="B264">
        <v>277</v>
      </c>
      <c r="C264" s="1">
        <v>45306</v>
      </c>
      <c r="D264" t="s">
        <v>11</v>
      </c>
    </row>
    <row r="265" spans="1:4" x14ac:dyDescent="0.3">
      <c r="A265">
        <v>264</v>
      </c>
      <c r="B265">
        <v>286</v>
      </c>
      <c r="C265" s="1">
        <v>45295</v>
      </c>
      <c r="D265" t="s">
        <v>11</v>
      </c>
    </row>
    <row r="266" spans="1:4" x14ac:dyDescent="0.3">
      <c r="A266">
        <v>265</v>
      </c>
      <c r="B266">
        <v>97</v>
      </c>
      <c r="C266" s="1">
        <v>45640</v>
      </c>
      <c r="D266" t="s">
        <v>13</v>
      </c>
    </row>
    <row r="267" spans="1:4" x14ac:dyDescent="0.3">
      <c r="A267">
        <v>266</v>
      </c>
      <c r="B267">
        <v>284</v>
      </c>
      <c r="C267" s="1">
        <v>45501</v>
      </c>
      <c r="D267" t="s">
        <v>11</v>
      </c>
    </row>
    <row r="268" spans="1:4" x14ac:dyDescent="0.3">
      <c r="A268">
        <v>267</v>
      </c>
      <c r="B268">
        <v>147</v>
      </c>
      <c r="C268" s="1">
        <v>45452</v>
      </c>
      <c r="D268" t="s">
        <v>11</v>
      </c>
    </row>
    <row r="269" spans="1:4" x14ac:dyDescent="0.3">
      <c r="A269">
        <v>268</v>
      </c>
      <c r="B269">
        <v>4</v>
      </c>
      <c r="C269" s="1">
        <v>45307</v>
      </c>
      <c r="D269" t="s">
        <v>11</v>
      </c>
    </row>
    <row r="270" spans="1:4" x14ac:dyDescent="0.3">
      <c r="A270">
        <v>269</v>
      </c>
      <c r="B270">
        <v>35</v>
      </c>
      <c r="C270" s="1">
        <v>45399</v>
      </c>
      <c r="D270" t="s">
        <v>12</v>
      </c>
    </row>
    <row r="271" spans="1:4" x14ac:dyDescent="0.3">
      <c r="A271">
        <v>270</v>
      </c>
      <c r="B271">
        <v>192</v>
      </c>
      <c r="C271" s="1">
        <v>45602</v>
      </c>
      <c r="D271" t="s">
        <v>11</v>
      </c>
    </row>
    <row r="272" spans="1:4" x14ac:dyDescent="0.3">
      <c r="A272">
        <v>271</v>
      </c>
      <c r="B272">
        <v>49</v>
      </c>
      <c r="C272" s="1">
        <v>45518</v>
      </c>
      <c r="D272" t="s">
        <v>11</v>
      </c>
    </row>
    <row r="273" spans="1:4" x14ac:dyDescent="0.3">
      <c r="A273">
        <v>272</v>
      </c>
      <c r="B273">
        <v>17</v>
      </c>
      <c r="C273" s="1">
        <v>45461</v>
      </c>
      <c r="D273" t="s">
        <v>11</v>
      </c>
    </row>
    <row r="274" spans="1:4" x14ac:dyDescent="0.3">
      <c r="A274">
        <v>273</v>
      </c>
      <c r="B274">
        <v>172</v>
      </c>
      <c r="C274" s="1">
        <v>45325</v>
      </c>
      <c r="D274" t="s">
        <v>13</v>
      </c>
    </row>
    <row r="275" spans="1:4" x14ac:dyDescent="0.3">
      <c r="A275">
        <v>274</v>
      </c>
      <c r="B275">
        <v>220</v>
      </c>
      <c r="C275" s="1">
        <v>45542</v>
      </c>
      <c r="D275" t="s">
        <v>11</v>
      </c>
    </row>
    <row r="276" spans="1:4" x14ac:dyDescent="0.3">
      <c r="A276">
        <v>275</v>
      </c>
      <c r="B276">
        <v>158</v>
      </c>
      <c r="C276" s="1">
        <v>45538</v>
      </c>
      <c r="D276" t="s">
        <v>11</v>
      </c>
    </row>
    <row r="277" spans="1:4" x14ac:dyDescent="0.3">
      <c r="A277">
        <v>276</v>
      </c>
      <c r="B277">
        <v>46</v>
      </c>
      <c r="C277" s="1">
        <v>45560</v>
      </c>
      <c r="D277" t="s">
        <v>11</v>
      </c>
    </row>
    <row r="278" spans="1:4" x14ac:dyDescent="0.3">
      <c r="A278">
        <v>277</v>
      </c>
      <c r="B278">
        <v>6</v>
      </c>
      <c r="C278" s="1">
        <v>45432</v>
      </c>
      <c r="D278" t="s">
        <v>11</v>
      </c>
    </row>
    <row r="279" spans="1:4" x14ac:dyDescent="0.3">
      <c r="A279">
        <v>278</v>
      </c>
      <c r="B279">
        <v>99</v>
      </c>
      <c r="C279" s="1">
        <v>45565</v>
      </c>
      <c r="D279" t="s">
        <v>11</v>
      </c>
    </row>
    <row r="280" spans="1:4" x14ac:dyDescent="0.3">
      <c r="A280">
        <v>279</v>
      </c>
      <c r="B280">
        <v>233</v>
      </c>
      <c r="C280" s="1">
        <v>45387</v>
      </c>
      <c r="D280" t="s">
        <v>13</v>
      </c>
    </row>
    <row r="281" spans="1:4" x14ac:dyDescent="0.3">
      <c r="A281">
        <v>280</v>
      </c>
      <c r="B281">
        <v>37</v>
      </c>
      <c r="C281" s="1">
        <v>45518</v>
      </c>
      <c r="D281" t="s">
        <v>11</v>
      </c>
    </row>
    <row r="282" spans="1:4" x14ac:dyDescent="0.3">
      <c r="A282">
        <v>281</v>
      </c>
      <c r="B282">
        <v>280</v>
      </c>
      <c r="C282" s="1">
        <v>45330</v>
      </c>
      <c r="D282" t="s">
        <v>11</v>
      </c>
    </row>
    <row r="283" spans="1:4" x14ac:dyDescent="0.3">
      <c r="A283">
        <v>282</v>
      </c>
      <c r="B283">
        <v>181</v>
      </c>
      <c r="C283" s="1">
        <v>45593</v>
      </c>
      <c r="D283" t="s">
        <v>11</v>
      </c>
    </row>
    <row r="284" spans="1:4" x14ac:dyDescent="0.3">
      <c r="A284">
        <v>283</v>
      </c>
      <c r="B284">
        <v>95</v>
      </c>
      <c r="C284" s="1">
        <v>45320</v>
      </c>
      <c r="D284" t="s">
        <v>12</v>
      </c>
    </row>
    <row r="285" spans="1:4" x14ac:dyDescent="0.3">
      <c r="A285">
        <v>284</v>
      </c>
      <c r="B285">
        <v>99</v>
      </c>
      <c r="C285" s="1">
        <v>45609</v>
      </c>
      <c r="D285" t="s">
        <v>11</v>
      </c>
    </row>
    <row r="286" spans="1:4" x14ac:dyDescent="0.3">
      <c r="A286">
        <v>285</v>
      </c>
      <c r="B286">
        <v>188</v>
      </c>
      <c r="C286" s="1">
        <v>45536</v>
      </c>
      <c r="D286" t="s">
        <v>11</v>
      </c>
    </row>
    <row r="287" spans="1:4" x14ac:dyDescent="0.3">
      <c r="A287">
        <v>286</v>
      </c>
      <c r="B287">
        <v>116</v>
      </c>
      <c r="C287" s="1">
        <v>45527</v>
      </c>
      <c r="D287" t="s">
        <v>12</v>
      </c>
    </row>
    <row r="288" spans="1:4" x14ac:dyDescent="0.3">
      <c r="A288">
        <v>287</v>
      </c>
      <c r="B288">
        <v>191</v>
      </c>
      <c r="C288" s="1">
        <v>45476</v>
      </c>
      <c r="D288" t="s">
        <v>12</v>
      </c>
    </row>
    <row r="289" spans="1:4" x14ac:dyDescent="0.3">
      <c r="A289">
        <v>288</v>
      </c>
      <c r="B289">
        <v>253</v>
      </c>
      <c r="C289" s="1">
        <v>45563</v>
      </c>
      <c r="D289" t="s">
        <v>12</v>
      </c>
    </row>
    <row r="290" spans="1:4" x14ac:dyDescent="0.3">
      <c r="A290">
        <v>289</v>
      </c>
      <c r="B290">
        <v>161</v>
      </c>
      <c r="C290" s="1">
        <v>45527</v>
      </c>
      <c r="D290" t="s">
        <v>13</v>
      </c>
    </row>
    <row r="291" spans="1:4" x14ac:dyDescent="0.3">
      <c r="A291">
        <v>290</v>
      </c>
      <c r="B291">
        <v>256</v>
      </c>
      <c r="C291" s="1">
        <v>45530</v>
      </c>
      <c r="D291" t="s">
        <v>11</v>
      </c>
    </row>
    <row r="292" spans="1:4" x14ac:dyDescent="0.3">
      <c r="A292">
        <v>291</v>
      </c>
      <c r="B292">
        <v>128</v>
      </c>
      <c r="C292" s="1">
        <v>45557</v>
      </c>
      <c r="D292" t="s">
        <v>11</v>
      </c>
    </row>
    <row r="293" spans="1:4" x14ac:dyDescent="0.3">
      <c r="A293">
        <v>292</v>
      </c>
      <c r="B293">
        <v>18</v>
      </c>
      <c r="C293" s="1">
        <v>45650</v>
      </c>
      <c r="D293" t="s">
        <v>11</v>
      </c>
    </row>
    <row r="294" spans="1:4" x14ac:dyDescent="0.3">
      <c r="A294">
        <v>293</v>
      </c>
      <c r="B294">
        <v>281</v>
      </c>
      <c r="C294" s="1">
        <v>45631</v>
      </c>
      <c r="D294" t="s">
        <v>12</v>
      </c>
    </row>
    <row r="295" spans="1:4" x14ac:dyDescent="0.3">
      <c r="A295">
        <v>294</v>
      </c>
      <c r="B295">
        <v>223</v>
      </c>
      <c r="C295" s="1">
        <v>45356</v>
      </c>
      <c r="D295" t="s">
        <v>11</v>
      </c>
    </row>
    <row r="296" spans="1:4" x14ac:dyDescent="0.3">
      <c r="A296">
        <v>295</v>
      </c>
      <c r="B296">
        <v>54</v>
      </c>
      <c r="C296" s="1">
        <v>45468</v>
      </c>
      <c r="D296" t="s">
        <v>11</v>
      </c>
    </row>
    <row r="297" spans="1:4" x14ac:dyDescent="0.3">
      <c r="A297">
        <v>296</v>
      </c>
      <c r="B297">
        <v>58</v>
      </c>
      <c r="C297" s="1">
        <v>45294</v>
      </c>
      <c r="D297" t="s">
        <v>11</v>
      </c>
    </row>
    <row r="298" spans="1:4" x14ac:dyDescent="0.3">
      <c r="A298">
        <v>297</v>
      </c>
      <c r="B298">
        <v>174</v>
      </c>
      <c r="C298" s="1">
        <v>45433</v>
      </c>
      <c r="D298" t="s">
        <v>11</v>
      </c>
    </row>
    <row r="299" spans="1:4" x14ac:dyDescent="0.3">
      <c r="A299">
        <v>298</v>
      </c>
      <c r="B299">
        <v>280</v>
      </c>
      <c r="C299" s="1">
        <v>45449</v>
      </c>
      <c r="D299" t="s">
        <v>11</v>
      </c>
    </row>
    <row r="300" spans="1:4" x14ac:dyDescent="0.3">
      <c r="A300">
        <v>299</v>
      </c>
      <c r="B300">
        <v>114</v>
      </c>
      <c r="C300" s="1">
        <v>45615</v>
      </c>
      <c r="D300" t="s">
        <v>13</v>
      </c>
    </row>
    <row r="301" spans="1:4" x14ac:dyDescent="0.3">
      <c r="A301">
        <v>300</v>
      </c>
      <c r="B301">
        <v>288</v>
      </c>
      <c r="C301" s="1">
        <v>45437</v>
      </c>
      <c r="D301" t="s">
        <v>13</v>
      </c>
    </row>
    <row r="302" spans="1:4" x14ac:dyDescent="0.3">
      <c r="A302">
        <v>301</v>
      </c>
      <c r="B302">
        <v>151</v>
      </c>
      <c r="C302" s="1">
        <v>45584</v>
      </c>
      <c r="D302" t="s">
        <v>11</v>
      </c>
    </row>
    <row r="303" spans="1:4" x14ac:dyDescent="0.3">
      <c r="A303">
        <v>302</v>
      </c>
      <c r="B303">
        <v>127</v>
      </c>
      <c r="C303" s="1">
        <v>45444</v>
      </c>
      <c r="D303" t="s">
        <v>11</v>
      </c>
    </row>
    <row r="304" spans="1:4" x14ac:dyDescent="0.3">
      <c r="A304">
        <v>303</v>
      </c>
      <c r="B304">
        <v>155</v>
      </c>
      <c r="C304" s="1">
        <v>45484</v>
      </c>
      <c r="D304" t="s">
        <v>11</v>
      </c>
    </row>
    <row r="305" spans="1:4" x14ac:dyDescent="0.3">
      <c r="A305">
        <v>304</v>
      </c>
      <c r="B305">
        <v>273</v>
      </c>
      <c r="C305" s="1">
        <v>45364</v>
      </c>
      <c r="D305" t="s">
        <v>11</v>
      </c>
    </row>
    <row r="306" spans="1:4" x14ac:dyDescent="0.3">
      <c r="A306">
        <v>305</v>
      </c>
      <c r="B306">
        <v>104</v>
      </c>
      <c r="C306" s="1">
        <v>45596</v>
      </c>
      <c r="D306" t="s">
        <v>12</v>
      </c>
    </row>
    <row r="307" spans="1:4" x14ac:dyDescent="0.3">
      <c r="A307">
        <v>306</v>
      </c>
      <c r="B307">
        <v>299</v>
      </c>
      <c r="C307" s="1">
        <v>45635</v>
      </c>
      <c r="D307" t="s">
        <v>11</v>
      </c>
    </row>
    <row r="308" spans="1:4" x14ac:dyDescent="0.3">
      <c r="A308">
        <v>307</v>
      </c>
      <c r="B308">
        <v>246</v>
      </c>
      <c r="C308" s="1">
        <v>45431</v>
      </c>
      <c r="D308" t="s">
        <v>11</v>
      </c>
    </row>
    <row r="309" spans="1:4" x14ac:dyDescent="0.3">
      <c r="A309">
        <v>308</v>
      </c>
      <c r="B309">
        <v>176</v>
      </c>
      <c r="C309" s="1">
        <v>45478</v>
      </c>
      <c r="D309" t="s">
        <v>12</v>
      </c>
    </row>
    <row r="310" spans="1:4" x14ac:dyDescent="0.3">
      <c r="A310">
        <v>309</v>
      </c>
      <c r="B310">
        <v>39</v>
      </c>
      <c r="C310" s="1">
        <v>45584</v>
      </c>
      <c r="D310" t="s">
        <v>11</v>
      </c>
    </row>
    <row r="311" spans="1:4" x14ac:dyDescent="0.3">
      <c r="A311">
        <v>310</v>
      </c>
      <c r="B311">
        <v>170</v>
      </c>
      <c r="C311" s="1">
        <v>45352</v>
      </c>
      <c r="D311" t="s">
        <v>11</v>
      </c>
    </row>
    <row r="312" spans="1:4" x14ac:dyDescent="0.3">
      <c r="A312">
        <v>311</v>
      </c>
      <c r="B312">
        <v>247</v>
      </c>
      <c r="C312" s="1">
        <v>45489</v>
      </c>
      <c r="D312" t="s">
        <v>11</v>
      </c>
    </row>
    <row r="313" spans="1:4" x14ac:dyDescent="0.3">
      <c r="A313">
        <v>312</v>
      </c>
      <c r="B313">
        <v>26</v>
      </c>
      <c r="C313" s="1">
        <v>45586</v>
      </c>
      <c r="D313" t="s">
        <v>11</v>
      </c>
    </row>
    <row r="314" spans="1:4" x14ac:dyDescent="0.3">
      <c r="A314">
        <v>313</v>
      </c>
      <c r="B314">
        <v>13</v>
      </c>
      <c r="C314" s="1">
        <v>45610</v>
      </c>
      <c r="D314" t="s">
        <v>11</v>
      </c>
    </row>
    <row r="315" spans="1:4" x14ac:dyDescent="0.3">
      <c r="A315">
        <v>314</v>
      </c>
      <c r="B315">
        <v>36</v>
      </c>
      <c r="C315" s="1">
        <v>45593</v>
      </c>
      <c r="D315" t="s">
        <v>11</v>
      </c>
    </row>
    <row r="316" spans="1:4" x14ac:dyDescent="0.3">
      <c r="A316">
        <v>315</v>
      </c>
      <c r="B316">
        <v>173</v>
      </c>
      <c r="C316" s="1">
        <v>45635</v>
      </c>
      <c r="D316" t="s">
        <v>11</v>
      </c>
    </row>
    <row r="317" spans="1:4" x14ac:dyDescent="0.3">
      <c r="A317">
        <v>316</v>
      </c>
      <c r="B317">
        <v>20</v>
      </c>
      <c r="C317" s="1">
        <v>45302</v>
      </c>
      <c r="D317" t="s">
        <v>12</v>
      </c>
    </row>
    <row r="318" spans="1:4" x14ac:dyDescent="0.3">
      <c r="A318">
        <v>317</v>
      </c>
      <c r="B318">
        <v>264</v>
      </c>
      <c r="C318" s="1">
        <v>45353</v>
      </c>
      <c r="D318" t="s">
        <v>11</v>
      </c>
    </row>
    <row r="319" spans="1:4" x14ac:dyDescent="0.3">
      <c r="A319">
        <v>318</v>
      </c>
      <c r="B319">
        <v>142</v>
      </c>
      <c r="C319" s="1">
        <v>45624</v>
      </c>
      <c r="D319" t="s">
        <v>11</v>
      </c>
    </row>
    <row r="320" spans="1:4" x14ac:dyDescent="0.3">
      <c r="A320">
        <v>319</v>
      </c>
      <c r="B320">
        <v>143</v>
      </c>
      <c r="C320" s="1">
        <v>45517</v>
      </c>
      <c r="D320" t="s">
        <v>11</v>
      </c>
    </row>
    <row r="321" spans="1:4" x14ac:dyDescent="0.3">
      <c r="A321">
        <v>320</v>
      </c>
      <c r="B321">
        <v>92</v>
      </c>
      <c r="C321" s="1">
        <v>45444</v>
      </c>
      <c r="D321" t="s">
        <v>11</v>
      </c>
    </row>
    <row r="322" spans="1:4" x14ac:dyDescent="0.3">
      <c r="A322">
        <v>321</v>
      </c>
      <c r="B322">
        <v>288</v>
      </c>
      <c r="C322" s="1">
        <v>45490</v>
      </c>
      <c r="D322" t="s">
        <v>11</v>
      </c>
    </row>
    <row r="323" spans="1:4" x14ac:dyDescent="0.3">
      <c r="A323">
        <v>322</v>
      </c>
      <c r="B323">
        <v>215</v>
      </c>
      <c r="C323" s="1">
        <v>45343</v>
      </c>
      <c r="D323" t="s">
        <v>11</v>
      </c>
    </row>
    <row r="324" spans="1:4" x14ac:dyDescent="0.3">
      <c r="A324">
        <v>323</v>
      </c>
      <c r="B324">
        <v>51</v>
      </c>
      <c r="C324" s="1">
        <v>45551</v>
      </c>
      <c r="D324" t="s">
        <v>11</v>
      </c>
    </row>
    <row r="325" spans="1:4" x14ac:dyDescent="0.3">
      <c r="A325">
        <v>324</v>
      </c>
      <c r="B325">
        <v>153</v>
      </c>
      <c r="C325" s="1">
        <v>45350</v>
      </c>
      <c r="D325" t="s">
        <v>13</v>
      </c>
    </row>
    <row r="326" spans="1:4" x14ac:dyDescent="0.3">
      <c r="A326">
        <v>325</v>
      </c>
      <c r="B326">
        <v>186</v>
      </c>
      <c r="C326" s="1">
        <v>45363</v>
      </c>
      <c r="D326" t="s">
        <v>11</v>
      </c>
    </row>
    <row r="327" spans="1:4" x14ac:dyDescent="0.3">
      <c r="A327">
        <v>326</v>
      </c>
      <c r="B327">
        <v>63</v>
      </c>
      <c r="C327" s="1">
        <v>45439</v>
      </c>
      <c r="D327" t="s">
        <v>11</v>
      </c>
    </row>
    <row r="328" spans="1:4" x14ac:dyDescent="0.3">
      <c r="A328">
        <v>327</v>
      </c>
      <c r="B328">
        <v>190</v>
      </c>
      <c r="C328" s="1">
        <v>45640</v>
      </c>
      <c r="D328" t="s">
        <v>12</v>
      </c>
    </row>
    <row r="329" spans="1:4" x14ac:dyDescent="0.3">
      <c r="A329">
        <v>328</v>
      </c>
      <c r="B329">
        <v>125</v>
      </c>
      <c r="C329" s="1">
        <v>45354</v>
      </c>
      <c r="D329" t="s">
        <v>11</v>
      </c>
    </row>
    <row r="330" spans="1:4" x14ac:dyDescent="0.3">
      <c r="A330">
        <v>329</v>
      </c>
      <c r="B330">
        <v>150</v>
      </c>
      <c r="C330" s="1">
        <v>45601</v>
      </c>
      <c r="D330" t="s">
        <v>11</v>
      </c>
    </row>
    <row r="331" spans="1:4" x14ac:dyDescent="0.3">
      <c r="A331">
        <v>330</v>
      </c>
      <c r="B331">
        <v>58</v>
      </c>
      <c r="C331" s="1">
        <v>45534</v>
      </c>
      <c r="D331" t="s">
        <v>11</v>
      </c>
    </row>
    <row r="332" spans="1:4" x14ac:dyDescent="0.3">
      <c r="A332">
        <v>331</v>
      </c>
      <c r="B332">
        <v>180</v>
      </c>
      <c r="C332" s="1">
        <v>45621</v>
      </c>
      <c r="D332" t="s">
        <v>11</v>
      </c>
    </row>
    <row r="333" spans="1:4" x14ac:dyDescent="0.3">
      <c r="A333">
        <v>332</v>
      </c>
      <c r="B333">
        <v>170</v>
      </c>
      <c r="C333" s="1">
        <v>45398</v>
      </c>
      <c r="D333" t="s">
        <v>11</v>
      </c>
    </row>
    <row r="334" spans="1:4" x14ac:dyDescent="0.3">
      <c r="A334">
        <v>333</v>
      </c>
      <c r="B334">
        <v>271</v>
      </c>
      <c r="C334" s="1">
        <v>45517</v>
      </c>
      <c r="D334" t="s">
        <v>11</v>
      </c>
    </row>
    <row r="335" spans="1:4" x14ac:dyDescent="0.3">
      <c r="A335">
        <v>334</v>
      </c>
      <c r="B335">
        <v>54</v>
      </c>
      <c r="C335" s="1">
        <v>45604</v>
      </c>
      <c r="D335" t="s">
        <v>11</v>
      </c>
    </row>
    <row r="336" spans="1:4" x14ac:dyDescent="0.3">
      <c r="A336">
        <v>335</v>
      </c>
      <c r="B336">
        <v>101</v>
      </c>
      <c r="C336" s="1">
        <v>45509</v>
      </c>
      <c r="D336" t="s">
        <v>11</v>
      </c>
    </row>
    <row r="337" spans="1:4" x14ac:dyDescent="0.3">
      <c r="A337">
        <v>336</v>
      </c>
      <c r="B337">
        <v>264</v>
      </c>
      <c r="C337" s="1">
        <v>45532</v>
      </c>
      <c r="D337" t="s">
        <v>11</v>
      </c>
    </row>
    <row r="338" spans="1:4" x14ac:dyDescent="0.3">
      <c r="A338">
        <v>337</v>
      </c>
      <c r="B338">
        <v>53</v>
      </c>
      <c r="C338" s="1">
        <v>45550</v>
      </c>
      <c r="D338" t="s">
        <v>11</v>
      </c>
    </row>
    <row r="339" spans="1:4" x14ac:dyDescent="0.3">
      <c r="A339">
        <v>338</v>
      </c>
      <c r="B339">
        <v>60</v>
      </c>
      <c r="C339" s="1">
        <v>45553</v>
      </c>
      <c r="D339" t="s">
        <v>11</v>
      </c>
    </row>
    <row r="340" spans="1:4" x14ac:dyDescent="0.3">
      <c r="A340">
        <v>339</v>
      </c>
      <c r="B340">
        <v>108</v>
      </c>
      <c r="C340" s="1">
        <v>45296</v>
      </c>
      <c r="D340" t="s">
        <v>11</v>
      </c>
    </row>
    <row r="341" spans="1:4" x14ac:dyDescent="0.3">
      <c r="A341">
        <v>340</v>
      </c>
      <c r="B341">
        <v>5</v>
      </c>
      <c r="C341" s="1">
        <v>45552</v>
      </c>
      <c r="D341" t="s">
        <v>11</v>
      </c>
    </row>
    <row r="342" spans="1:4" x14ac:dyDescent="0.3">
      <c r="A342">
        <v>341</v>
      </c>
      <c r="B342">
        <v>103</v>
      </c>
      <c r="C342" s="1">
        <v>45345</v>
      </c>
      <c r="D342" t="s">
        <v>13</v>
      </c>
    </row>
    <row r="343" spans="1:4" x14ac:dyDescent="0.3">
      <c r="A343">
        <v>342</v>
      </c>
      <c r="B343">
        <v>196</v>
      </c>
      <c r="C343" s="1">
        <v>45338</v>
      </c>
      <c r="D343" t="s">
        <v>11</v>
      </c>
    </row>
    <row r="344" spans="1:4" x14ac:dyDescent="0.3">
      <c r="A344">
        <v>343</v>
      </c>
      <c r="B344">
        <v>262</v>
      </c>
      <c r="C344" s="1">
        <v>45506</v>
      </c>
      <c r="D344" t="s">
        <v>11</v>
      </c>
    </row>
    <row r="345" spans="1:4" x14ac:dyDescent="0.3">
      <c r="A345">
        <v>344</v>
      </c>
      <c r="B345">
        <v>47</v>
      </c>
      <c r="C345" s="1">
        <v>45468</v>
      </c>
      <c r="D345" t="s">
        <v>11</v>
      </c>
    </row>
    <row r="346" spans="1:4" x14ac:dyDescent="0.3">
      <c r="A346">
        <v>345</v>
      </c>
      <c r="B346">
        <v>144</v>
      </c>
      <c r="C346" s="1">
        <v>45300</v>
      </c>
      <c r="D346" t="s">
        <v>11</v>
      </c>
    </row>
    <row r="347" spans="1:4" x14ac:dyDescent="0.3">
      <c r="A347">
        <v>346</v>
      </c>
      <c r="B347">
        <v>269</v>
      </c>
      <c r="C347" s="1">
        <v>45390</v>
      </c>
      <c r="D347" t="s">
        <v>12</v>
      </c>
    </row>
    <row r="348" spans="1:4" x14ac:dyDescent="0.3">
      <c r="A348">
        <v>347</v>
      </c>
      <c r="B348">
        <v>124</v>
      </c>
      <c r="C348" s="1">
        <v>45311</v>
      </c>
      <c r="D348" t="s">
        <v>13</v>
      </c>
    </row>
    <row r="349" spans="1:4" x14ac:dyDescent="0.3">
      <c r="A349">
        <v>348</v>
      </c>
      <c r="B349">
        <v>106</v>
      </c>
      <c r="C349" s="1">
        <v>45532</v>
      </c>
      <c r="D349" t="s">
        <v>11</v>
      </c>
    </row>
    <row r="350" spans="1:4" x14ac:dyDescent="0.3">
      <c r="A350">
        <v>349</v>
      </c>
      <c r="B350">
        <v>158</v>
      </c>
      <c r="C350" s="1">
        <v>45352</v>
      </c>
      <c r="D350" t="s">
        <v>11</v>
      </c>
    </row>
    <row r="351" spans="1:4" x14ac:dyDescent="0.3">
      <c r="A351">
        <v>350</v>
      </c>
      <c r="B351">
        <v>147</v>
      </c>
      <c r="C351" s="1">
        <v>45469</v>
      </c>
      <c r="D351" t="s">
        <v>11</v>
      </c>
    </row>
    <row r="352" spans="1:4" x14ac:dyDescent="0.3">
      <c r="A352">
        <v>351</v>
      </c>
      <c r="B352">
        <v>145</v>
      </c>
      <c r="C352" s="1">
        <v>45629</v>
      </c>
      <c r="D352" t="s">
        <v>12</v>
      </c>
    </row>
    <row r="353" spans="1:4" x14ac:dyDescent="0.3">
      <c r="A353">
        <v>352</v>
      </c>
      <c r="B353">
        <v>120</v>
      </c>
      <c r="C353" s="1">
        <v>45353</v>
      </c>
      <c r="D353" t="s">
        <v>11</v>
      </c>
    </row>
    <row r="354" spans="1:4" x14ac:dyDescent="0.3">
      <c r="A354">
        <v>353</v>
      </c>
      <c r="B354">
        <v>275</v>
      </c>
      <c r="C354" s="1">
        <v>45436</v>
      </c>
      <c r="D354" t="s">
        <v>11</v>
      </c>
    </row>
    <row r="355" spans="1:4" x14ac:dyDescent="0.3">
      <c r="A355">
        <v>354</v>
      </c>
      <c r="B355">
        <v>92</v>
      </c>
      <c r="C355" s="1">
        <v>45507</v>
      </c>
      <c r="D355" t="s">
        <v>11</v>
      </c>
    </row>
    <row r="356" spans="1:4" x14ac:dyDescent="0.3">
      <c r="A356">
        <v>355</v>
      </c>
      <c r="B356">
        <v>58</v>
      </c>
      <c r="C356" s="1">
        <v>45294</v>
      </c>
      <c r="D356" t="s">
        <v>11</v>
      </c>
    </row>
    <row r="357" spans="1:4" x14ac:dyDescent="0.3">
      <c r="A357">
        <v>356</v>
      </c>
      <c r="B357">
        <v>229</v>
      </c>
      <c r="C357" s="1">
        <v>45451</v>
      </c>
      <c r="D357" t="s">
        <v>11</v>
      </c>
    </row>
    <row r="358" spans="1:4" x14ac:dyDescent="0.3">
      <c r="A358">
        <v>357</v>
      </c>
      <c r="B358">
        <v>117</v>
      </c>
      <c r="C358" s="1">
        <v>45518</v>
      </c>
      <c r="D358" t="s">
        <v>11</v>
      </c>
    </row>
    <row r="359" spans="1:4" x14ac:dyDescent="0.3">
      <c r="A359">
        <v>358</v>
      </c>
      <c r="B359">
        <v>279</v>
      </c>
      <c r="C359" s="1">
        <v>45560</v>
      </c>
      <c r="D359" t="s">
        <v>11</v>
      </c>
    </row>
    <row r="360" spans="1:4" x14ac:dyDescent="0.3">
      <c r="A360">
        <v>359</v>
      </c>
      <c r="B360">
        <v>127</v>
      </c>
      <c r="C360" s="1">
        <v>45411</v>
      </c>
      <c r="D360" t="s">
        <v>11</v>
      </c>
    </row>
    <row r="361" spans="1:4" x14ac:dyDescent="0.3">
      <c r="A361">
        <v>360</v>
      </c>
      <c r="B361">
        <v>129</v>
      </c>
      <c r="C361" s="1">
        <v>45380</v>
      </c>
      <c r="D361" t="s">
        <v>11</v>
      </c>
    </row>
    <row r="362" spans="1:4" x14ac:dyDescent="0.3">
      <c r="A362">
        <v>361</v>
      </c>
      <c r="B362">
        <v>58</v>
      </c>
      <c r="C362" s="1">
        <v>45620</v>
      </c>
      <c r="D362" t="s">
        <v>11</v>
      </c>
    </row>
    <row r="363" spans="1:4" x14ac:dyDescent="0.3">
      <c r="A363">
        <v>362</v>
      </c>
      <c r="B363">
        <v>122</v>
      </c>
      <c r="C363" s="1">
        <v>45359</v>
      </c>
      <c r="D363" t="s">
        <v>11</v>
      </c>
    </row>
    <row r="364" spans="1:4" x14ac:dyDescent="0.3">
      <c r="A364">
        <v>363</v>
      </c>
      <c r="B364">
        <v>1</v>
      </c>
      <c r="C364" s="1">
        <v>45648</v>
      </c>
      <c r="D364" t="s">
        <v>11</v>
      </c>
    </row>
    <row r="365" spans="1:4" x14ac:dyDescent="0.3">
      <c r="A365">
        <v>364</v>
      </c>
      <c r="B365">
        <v>239</v>
      </c>
      <c r="C365" s="1">
        <v>45389</v>
      </c>
      <c r="D365" t="s">
        <v>11</v>
      </c>
    </row>
    <row r="366" spans="1:4" x14ac:dyDescent="0.3">
      <c r="A366">
        <v>365</v>
      </c>
      <c r="B366">
        <v>290</v>
      </c>
      <c r="C366" s="1">
        <v>45558</v>
      </c>
      <c r="D366" t="s">
        <v>11</v>
      </c>
    </row>
    <row r="367" spans="1:4" x14ac:dyDescent="0.3">
      <c r="A367">
        <v>366</v>
      </c>
      <c r="B367">
        <v>96</v>
      </c>
      <c r="C367" s="1">
        <v>45396</v>
      </c>
      <c r="D367" t="s">
        <v>11</v>
      </c>
    </row>
    <row r="368" spans="1:4" x14ac:dyDescent="0.3">
      <c r="A368">
        <v>367</v>
      </c>
      <c r="B368">
        <v>126</v>
      </c>
      <c r="C368" s="1">
        <v>45614</v>
      </c>
      <c r="D368" t="s">
        <v>11</v>
      </c>
    </row>
    <row r="369" spans="1:4" x14ac:dyDescent="0.3">
      <c r="A369">
        <v>368</v>
      </c>
      <c r="B369">
        <v>118</v>
      </c>
      <c r="C369" s="1">
        <v>45414</v>
      </c>
      <c r="D369" t="s">
        <v>11</v>
      </c>
    </row>
    <row r="370" spans="1:4" x14ac:dyDescent="0.3">
      <c r="A370">
        <v>369</v>
      </c>
      <c r="B370">
        <v>48</v>
      </c>
      <c r="C370" s="1">
        <v>45320</v>
      </c>
      <c r="D370" t="s">
        <v>11</v>
      </c>
    </row>
    <row r="371" spans="1:4" x14ac:dyDescent="0.3">
      <c r="A371">
        <v>370</v>
      </c>
      <c r="B371">
        <v>89</v>
      </c>
      <c r="C371" s="1">
        <v>45428</v>
      </c>
      <c r="D371" t="s">
        <v>12</v>
      </c>
    </row>
    <row r="372" spans="1:4" x14ac:dyDescent="0.3">
      <c r="A372">
        <v>371</v>
      </c>
      <c r="B372">
        <v>237</v>
      </c>
      <c r="C372" s="1">
        <v>45486</v>
      </c>
      <c r="D372" t="s">
        <v>11</v>
      </c>
    </row>
    <row r="373" spans="1:4" x14ac:dyDescent="0.3">
      <c r="A373">
        <v>372</v>
      </c>
      <c r="B373">
        <v>272</v>
      </c>
      <c r="C373" s="1">
        <v>45517</v>
      </c>
      <c r="D373" t="s">
        <v>12</v>
      </c>
    </row>
    <row r="374" spans="1:4" x14ac:dyDescent="0.3">
      <c r="A374">
        <v>373</v>
      </c>
      <c r="B374">
        <v>189</v>
      </c>
      <c r="C374" s="1">
        <v>45623</v>
      </c>
      <c r="D374" t="s">
        <v>11</v>
      </c>
    </row>
    <row r="375" spans="1:4" x14ac:dyDescent="0.3">
      <c r="A375">
        <v>374</v>
      </c>
      <c r="B375">
        <v>192</v>
      </c>
      <c r="C375" s="1">
        <v>45461</v>
      </c>
      <c r="D375" t="s">
        <v>11</v>
      </c>
    </row>
    <row r="376" spans="1:4" x14ac:dyDescent="0.3">
      <c r="A376">
        <v>375</v>
      </c>
      <c r="B376">
        <v>69</v>
      </c>
      <c r="C376" s="1">
        <v>45300</v>
      </c>
      <c r="D376" t="s">
        <v>11</v>
      </c>
    </row>
    <row r="377" spans="1:4" x14ac:dyDescent="0.3">
      <c r="A377">
        <v>376</v>
      </c>
      <c r="B377">
        <v>278</v>
      </c>
      <c r="C377" s="1">
        <v>45331</v>
      </c>
      <c r="D377" t="s">
        <v>11</v>
      </c>
    </row>
    <row r="378" spans="1:4" x14ac:dyDescent="0.3">
      <c r="A378">
        <v>377</v>
      </c>
      <c r="B378">
        <v>247</v>
      </c>
      <c r="C378" s="1">
        <v>45316</v>
      </c>
      <c r="D378" t="s">
        <v>11</v>
      </c>
    </row>
    <row r="379" spans="1:4" x14ac:dyDescent="0.3">
      <c r="A379">
        <v>378</v>
      </c>
      <c r="B379">
        <v>76</v>
      </c>
      <c r="C379" s="1">
        <v>45552</v>
      </c>
      <c r="D379" t="s">
        <v>11</v>
      </c>
    </row>
    <row r="380" spans="1:4" x14ac:dyDescent="0.3">
      <c r="A380">
        <v>379</v>
      </c>
      <c r="B380">
        <v>154</v>
      </c>
      <c r="C380" s="1">
        <v>45517</v>
      </c>
      <c r="D380" t="s">
        <v>11</v>
      </c>
    </row>
    <row r="381" spans="1:4" x14ac:dyDescent="0.3">
      <c r="A381">
        <v>380</v>
      </c>
      <c r="B381">
        <v>144</v>
      </c>
      <c r="C381" s="1">
        <v>45415</v>
      </c>
      <c r="D381" t="s">
        <v>11</v>
      </c>
    </row>
    <row r="382" spans="1:4" x14ac:dyDescent="0.3">
      <c r="A382">
        <v>381</v>
      </c>
      <c r="B382">
        <v>86</v>
      </c>
      <c r="C382" s="1">
        <v>45329</v>
      </c>
      <c r="D382" t="s">
        <v>11</v>
      </c>
    </row>
    <row r="383" spans="1:4" x14ac:dyDescent="0.3">
      <c r="A383">
        <v>382</v>
      </c>
      <c r="B383">
        <v>185</v>
      </c>
      <c r="C383" s="1">
        <v>45619</v>
      </c>
      <c r="D383" t="s">
        <v>11</v>
      </c>
    </row>
    <row r="384" spans="1:4" x14ac:dyDescent="0.3">
      <c r="A384">
        <v>383</v>
      </c>
      <c r="B384">
        <v>285</v>
      </c>
      <c r="C384" s="1">
        <v>45542</v>
      </c>
      <c r="D384" t="s">
        <v>11</v>
      </c>
    </row>
    <row r="385" spans="1:4" x14ac:dyDescent="0.3">
      <c r="A385">
        <v>384</v>
      </c>
      <c r="B385">
        <v>220</v>
      </c>
      <c r="C385" s="1">
        <v>45467</v>
      </c>
      <c r="D385" t="s">
        <v>11</v>
      </c>
    </row>
    <row r="386" spans="1:4" x14ac:dyDescent="0.3">
      <c r="A386">
        <v>385</v>
      </c>
      <c r="B386">
        <v>69</v>
      </c>
      <c r="C386" s="1">
        <v>45381</v>
      </c>
      <c r="D386" t="s">
        <v>11</v>
      </c>
    </row>
    <row r="387" spans="1:4" x14ac:dyDescent="0.3">
      <c r="A387">
        <v>386</v>
      </c>
      <c r="B387">
        <v>47</v>
      </c>
      <c r="C387" s="1">
        <v>45328</v>
      </c>
      <c r="D387" t="s">
        <v>11</v>
      </c>
    </row>
    <row r="388" spans="1:4" x14ac:dyDescent="0.3">
      <c r="A388">
        <v>387</v>
      </c>
      <c r="B388">
        <v>94</v>
      </c>
      <c r="C388" s="1">
        <v>45607</v>
      </c>
      <c r="D388" t="s">
        <v>11</v>
      </c>
    </row>
    <row r="389" spans="1:4" x14ac:dyDescent="0.3">
      <c r="A389">
        <v>388</v>
      </c>
      <c r="B389">
        <v>238</v>
      </c>
      <c r="C389" s="1">
        <v>45467</v>
      </c>
      <c r="D389" t="s">
        <v>11</v>
      </c>
    </row>
    <row r="390" spans="1:4" x14ac:dyDescent="0.3">
      <c r="A390">
        <v>389</v>
      </c>
      <c r="B390">
        <v>204</v>
      </c>
      <c r="C390" s="1">
        <v>45575</v>
      </c>
      <c r="D390" t="s">
        <v>13</v>
      </c>
    </row>
    <row r="391" spans="1:4" x14ac:dyDescent="0.3">
      <c r="A391">
        <v>390</v>
      </c>
      <c r="B391">
        <v>218</v>
      </c>
      <c r="C391" s="1">
        <v>45372</v>
      </c>
      <c r="D391" t="s">
        <v>13</v>
      </c>
    </row>
    <row r="392" spans="1:4" x14ac:dyDescent="0.3">
      <c r="A392">
        <v>391</v>
      </c>
      <c r="B392">
        <v>39</v>
      </c>
      <c r="C392" s="1">
        <v>45405</v>
      </c>
      <c r="D392" t="s">
        <v>11</v>
      </c>
    </row>
    <row r="393" spans="1:4" x14ac:dyDescent="0.3">
      <c r="A393">
        <v>392</v>
      </c>
      <c r="B393">
        <v>100</v>
      </c>
      <c r="C393" s="1">
        <v>45331</v>
      </c>
      <c r="D393" t="s">
        <v>11</v>
      </c>
    </row>
    <row r="394" spans="1:4" x14ac:dyDescent="0.3">
      <c r="A394">
        <v>393</v>
      </c>
      <c r="B394">
        <v>289</v>
      </c>
      <c r="C394" s="1">
        <v>45592</v>
      </c>
      <c r="D394" t="s">
        <v>11</v>
      </c>
    </row>
    <row r="395" spans="1:4" x14ac:dyDescent="0.3">
      <c r="A395">
        <v>394</v>
      </c>
      <c r="B395">
        <v>254</v>
      </c>
      <c r="C395" s="1">
        <v>45515</v>
      </c>
      <c r="D395" t="s">
        <v>11</v>
      </c>
    </row>
    <row r="396" spans="1:4" x14ac:dyDescent="0.3">
      <c r="A396">
        <v>395</v>
      </c>
      <c r="B396">
        <v>222</v>
      </c>
      <c r="C396" s="1">
        <v>45609</v>
      </c>
      <c r="D396" t="s">
        <v>11</v>
      </c>
    </row>
    <row r="397" spans="1:4" x14ac:dyDescent="0.3">
      <c r="A397">
        <v>396</v>
      </c>
      <c r="B397">
        <v>23</v>
      </c>
      <c r="C397" s="1">
        <v>45640</v>
      </c>
      <c r="D397" t="s">
        <v>11</v>
      </c>
    </row>
    <row r="398" spans="1:4" x14ac:dyDescent="0.3">
      <c r="A398">
        <v>397</v>
      </c>
      <c r="B398">
        <v>250</v>
      </c>
      <c r="C398" s="1">
        <v>45406</v>
      </c>
      <c r="D398" t="s">
        <v>12</v>
      </c>
    </row>
    <row r="399" spans="1:4" x14ac:dyDescent="0.3">
      <c r="A399">
        <v>398</v>
      </c>
      <c r="B399">
        <v>10</v>
      </c>
      <c r="C399" s="1">
        <v>45477</v>
      </c>
      <c r="D399" t="s">
        <v>11</v>
      </c>
    </row>
    <row r="400" spans="1:4" x14ac:dyDescent="0.3">
      <c r="A400">
        <v>399</v>
      </c>
      <c r="B400">
        <v>246</v>
      </c>
      <c r="C400" s="1">
        <v>45614</v>
      </c>
      <c r="D400" t="s">
        <v>11</v>
      </c>
    </row>
    <row r="401" spans="1:4" x14ac:dyDescent="0.3">
      <c r="A401">
        <v>400</v>
      </c>
      <c r="B401">
        <v>100</v>
      </c>
      <c r="C401" s="1">
        <v>45347</v>
      </c>
      <c r="D401" t="s">
        <v>11</v>
      </c>
    </row>
    <row r="402" spans="1:4" x14ac:dyDescent="0.3">
      <c r="A402">
        <v>401</v>
      </c>
      <c r="B402">
        <v>290</v>
      </c>
      <c r="C402" s="1">
        <v>45331</v>
      </c>
      <c r="D402" t="s">
        <v>11</v>
      </c>
    </row>
    <row r="403" spans="1:4" x14ac:dyDescent="0.3">
      <c r="A403">
        <v>402</v>
      </c>
      <c r="B403">
        <v>180</v>
      </c>
      <c r="C403" s="1">
        <v>45645</v>
      </c>
      <c r="D403" t="s">
        <v>11</v>
      </c>
    </row>
    <row r="404" spans="1:4" x14ac:dyDescent="0.3">
      <c r="A404">
        <v>403</v>
      </c>
      <c r="B404">
        <v>223</v>
      </c>
      <c r="C404" s="1">
        <v>45331</v>
      </c>
      <c r="D404" t="s">
        <v>11</v>
      </c>
    </row>
    <row r="405" spans="1:4" x14ac:dyDescent="0.3">
      <c r="A405">
        <v>404</v>
      </c>
      <c r="B405">
        <v>250</v>
      </c>
      <c r="C405" s="1">
        <v>45638</v>
      </c>
      <c r="D405" t="s">
        <v>11</v>
      </c>
    </row>
    <row r="406" spans="1:4" x14ac:dyDescent="0.3">
      <c r="A406">
        <v>405</v>
      </c>
      <c r="B406">
        <v>147</v>
      </c>
      <c r="C406" s="1">
        <v>45528</v>
      </c>
      <c r="D406" t="s">
        <v>11</v>
      </c>
    </row>
    <row r="407" spans="1:4" x14ac:dyDescent="0.3">
      <c r="A407">
        <v>406</v>
      </c>
      <c r="B407">
        <v>96</v>
      </c>
      <c r="C407" s="1">
        <v>45580</v>
      </c>
      <c r="D407" t="s">
        <v>12</v>
      </c>
    </row>
    <row r="408" spans="1:4" x14ac:dyDescent="0.3">
      <c r="A408">
        <v>407</v>
      </c>
      <c r="B408">
        <v>257</v>
      </c>
      <c r="C408" s="1">
        <v>45553</v>
      </c>
      <c r="D408" t="s">
        <v>11</v>
      </c>
    </row>
    <row r="409" spans="1:4" x14ac:dyDescent="0.3">
      <c r="A409">
        <v>408</v>
      </c>
      <c r="B409">
        <v>4</v>
      </c>
      <c r="C409" s="1">
        <v>45507</v>
      </c>
      <c r="D409" t="s">
        <v>11</v>
      </c>
    </row>
    <row r="410" spans="1:4" x14ac:dyDescent="0.3">
      <c r="A410">
        <v>409</v>
      </c>
      <c r="B410">
        <v>16</v>
      </c>
      <c r="C410" s="1">
        <v>45438</v>
      </c>
      <c r="D410" t="s">
        <v>11</v>
      </c>
    </row>
    <row r="411" spans="1:4" x14ac:dyDescent="0.3">
      <c r="A411">
        <v>410</v>
      </c>
      <c r="B411">
        <v>280</v>
      </c>
      <c r="C411" s="1">
        <v>45627</v>
      </c>
      <c r="D411" t="s">
        <v>13</v>
      </c>
    </row>
    <row r="412" spans="1:4" x14ac:dyDescent="0.3">
      <c r="A412">
        <v>411</v>
      </c>
      <c r="B412">
        <v>247</v>
      </c>
      <c r="C412" s="1">
        <v>45459</v>
      </c>
      <c r="D412" t="s">
        <v>11</v>
      </c>
    </row>
    <row r="413" spans="1:4" x14ac:dyDescent="0.3">
      <c r="A413">
        <v>412</v>
      </c>
      <c r="B413">
        <v>258</v>
      </c>
      <c r="C413" s="1">
        <v>45383</v>
      </c>
      <c r="D413" t="s">
        <v>11</v>
      </c>
    </row>
    <row r="414" spans="1:4" x14ac:dyDescent="0.3">
      <c r="A414">
        <v>413</v>
      </c>
      <c r="B414">
        <v>160</v>
      </c>
      <c r="C414" s="1">
        <v>45644</v>
      </c>
      <c r="D414" t="s">
        <v>12</v>
      </c>
    </row>
    <row r="415" spans="1:4" x14ac:dyDescent="0.3">
      <c r="A415">
        <v>414</v>
      </c>
      <c r="B415">
        <v>152</v>
      </c>
      <c r="C415" s="1">
        <v>45350</v>
      </c>
      <c r="D415" t="s">
        <v>12</v>
      </c>
    </row>
    <row r="416" spans="1:4" x14ac:dyDescent="0.3">
      <c r="A416">
        <v>415</v>
      </c>
      <c r="B416">
        <v>178</v>
      </c>
      <c r="C416" s="1">
        <v>45350</v>
      </c>
      <c r="D416" t="s">
        <v>11</v>
      </c>
    </row>
    <row r="417" spans="1:4" x14ac:dyDescent="0.3">
      <c r="A417">
        <v>416</v>
      </c>
      <c r="B417">
        <v>163</v>
      </c>
      <c r="C417" s="1">
        <v>45595</v>
      </c>
      <c r="D417" t="s">
        <v>12</v>
      </c>
    </row>
    <row r="418" spans="1:4" x14ac:dyDescent="0.3">
      <c r="A418">
        <v>417</v>
      </c>
      <c r="B418">
        <v>33</v>
      </c>
      <c r="C418" s="1">
        <v>45460</v>
      </c>
      <c r="D418" t="s">
        <v>11</v>
      </c>
    </row>
    <row r="419" spans="1:4" x14ac:dyDescent="0.3">
      <c r="A419">
        <v>418</v>
      </c>
      <c r="B419">
        <v>179</v>
      </c>
      <c r="C419" s="1">
        <v>45560</v>
      </c>
      <c r="D419" t="s">
        <v>11</v>
      </c>
    </row>
    <row r="420" spans="1:4" x14ac:dyDescent="0.3">
      <c r="A420">
        <v>419</v>
      </c>
      <c r="B420">
        <v>101</v>
      </c>
      <c r="C420" s="1">
        <v>45654</v>
      </c>
      <c r="D420" t="s">
        <v>11</v>
      </c>
    </row>
    <row r="421" spans="1:4" x14ac:dyDescent="0.3">
      <c r="A421">
        <v>420</v>
      </c>
      <c r="B421">
        <v>268</v>
      </c>
      <c r="C421" s="1">
        <v>45336</v>
      </c>
      <c r="D421" t="s">
        <v>11</v>
      </c>
    </row>
    <row r="422" spans="1:4" x14ac:dyDescent="0.3">
      <c r="A422">
        <v>421</v>
      </c>
      <c r="B422">
        <v>65</v>
      </c>
      <c r="C422" s="1">
        <v>45636</v>
      </c>
      <c r="D422" t="s">
        <v>11</v>
      </c>
    </row>
    <row r="423" spans="1:4" x14ac:dyDescent="0.3">
      <c r="A423">
        <v>422</v>
      </c>
      <c r="B423">
        <v>168</v>
      </c>
      <c r="C423" s="1">
        <v>45472</v>
      </c>
      <c r="D423" t="s">
        <v>11</v>
      </c>
    </row>
    <row r="424" spans="1:4" x14ac:dyDescent="0.3">
      <c r="A424">
        <v>423</v>
      </c>
      <c r="B424">
        <v>43</v>
      </c>
      <c r="C424" s="1">
        <v>45461</v>
      </c>
      <c r="D424" t="s">
        <v>11</v>
      </c>
    </row>
    <row r="425" spans="1:4" x14ac:dyDescent="0.3">
      <c r="A425">
        <v>424</v>
      </c>
      <c r="B425">
        <v>44</v>
      </c>
      <c r="C425" s="1">
        <v>45647</v>
      </c>
      <c r="D425" t="s">
        <v>11</v>
      </c>
    </row>
    <row r="426" spans="1:4" x14ac:dyDescent="0.3">
      <c r="A426">
        <v>425</v>
      </c>
      <c r="B426">
        <v>285</v>
      </c>
      <c r="C426" s="1">
        <v>45482</v>
      </c>
      <c r="D426" t="s">
        <v>11</v>
      </c>
    </row>
    <row r="427" spans="1:4" x14ac:dyDescent="0.3">
      <c r="A427">
        <v>426</v>
      </c>
      <c r="B427">
        <v>12</v>
      </c>
      <c r="C427" s="1">
        <v>45446</v>
      </c>
      <c r="D427" t="s">
        <v>11</v>
      </c>
    </row>
    <row r="428" spans="1:4" x14ac:dyDescent="0.3">
      <c r="A428">
        <v>427</v>
      </c>
      <c r="B428">
        <v>95</v>
      </c>
      <c r="C428" s="1">
        <v>45479</v>
      </c>
      <c r="D428" t="s">
        <v>11</v>
      </c>
    </row>
    <row r="429" spans="1:4" x14ac:dyDescent="0.3">
      <c r="A429">
        <v>428</v>
      </c>
      <c r="B429">
        <v>253</v>
      </c>
      <c r="C429" s="1">
        <v>45298</v>
      </c>
      <c r="D429" t="s">
        <v>11</v>
      </c>
    </row>
    <row r="430" spans="1:4" x14ac:dyDescent="0.3">
      <c r="A430">
        <v>429</v>
      </c>
      <c r="B430">
        <v>242</v>
      </c>
      <c r="C430" s="1">
        <v>45424</v>
      </c>
      <c r="D430" t="s">
        <v>11</v>
      </c>
    </row>
    <row r="431" spans="1:4" x14ac:dyDescent="0.3">
      <c r="A431">
        <v>430</v>
      </c>
      <c r="B431">
        <v>35</v>
      </c>
      <c r="C431" s="1">
        <v>45526</v>
      </c>
      <c r="D431" t="s">
        <v>11</v>
      </c>
    </row>
    <row r="432" spans="1:4" x14ac:dyDescent="0.3">
      <c r="A432">
        <v>431</v>
      </c>
      <c r="B432">
        <v>215</v>
      </c>
      <c r="C432" s="1">
        <v>45336</v>
      </c>
      <c r="D432" t="s">
        <v>13</v>
      </c>
    </row>
    <row r="433" spans="1:4" x14ac:dyDescent="0.3">
      <c r="A433">
        <v>432</v>
      </c>
      <c r="B433">
        <v>90</v>
      </c>
      <c r="C433" s="1">
        <v>45605</v>
      </c>
      <c r="D433" t="s">
        <v>11</v>
      </c>
    </row>
    <row r="434" spans="1:4" x14ac:dyDescent="0.3">
      <c r="A434">
        <v>433</v>
      </c>
      <c r="B434">
        <v>264</v>
      </c>
      <c r="C434" s="1">
        <v>45540</v>
      </c>
      <c r="D434" t="s">
        <v>11</v>
      </c>
    </row>
    <row r="435" spans="1:4" x14ac:dyDescent="0.3">
      <c r="A435">
        <v>434</v>
      </c>
      <c r="B435">
        <v>93</v>
      </c>
      <c r="C435" s="1">
        <v>45322</v>
      </c>
      <c r="D435" t="s">
        <v>11</v>
      </c>
    </row>
    <row r="436" spans="1:4" x14ac:dyDescent="0.3">
      <c r="A436">
        <v>435</v>
      </c>
      <c r="B436">
        <v>90</v>
      </c>
      <c r="C436" s="1">
        <v>45314</v>
      </c>
      <c r="D436" t="s">
        <v>11</v>
      </c>
    </row>
    <row r="437" spans="1:4" x14ac:dyDescent="0.3">
      <c r="A437">
        <v>436</v>
      </c>
      <c r="B437">
        <v>115</v>
      </c>
      <c r="C437" s="1">
        <v>45451</v>
      </c>
      <c r="D437" t="s">
        <v>11</v>
      </c>
    </row>
    <row r="438" spans="1:4" x14ac:dyDescent="0.3">
      <c r="A438">
        <v>437</v>
      </c>
      <c r="B438">
        <v>105</v>
      </c>
      <c r="C438" s="1">
        <v>45654</v>
      </c>
      <c r="D438" t="s">
        <v>13</v>
      </c>
    </row>
    <row r="439" spans="1:4" x14ac:dyDescent="0.3">
      <c r="A439">
        <v>438</v>
      </c>
      <c r="B439">
        <v>196</v>
      </c>
      <c r="C439" s="1">
        <v>45449</v>
      </c>
      <c r="D439" t="s">
        <v>11</v>
      </c>
    </row>
    <row r="440" spans="1:4" x14ac:dyDescent="0.3">
      <c r="A440">
        <v>439</v>
      </c>
      <c r="B440">
        <v>114</v>
      </c>
      <c r="C440" s="1">
        <v>45330</v>
      </c>
      <c r="D440" t="s">
        <v>11</v>
      </c>
    </row>
    <row r="441" spans="1:4" x14ac:dyDescent="0.3">
      <c r="A441">
        <v>440</v>
      </c>
      <c r="B441">
        <v>75</v>
      </c>
      <c r="C441" s="1">
        <v>45373</v>
      </c>
      <c r="D441" t="s">
        <v>11</v>
      </c>
    </row>
    <row r="442" spans="1:4" x14ac:dyDescent="0.3">
      <c r="A442">
        <v>441</v>
      </c>
      <c r="B442">
        <v>217</v>
      </c>
      <c r="C442" s="1">
        <v>45647</v>
      </c>
      <c r="D442" t="s">
        <v>11</v>
      </c>
    </row>
    <row r="443" spans="1:4" x14ac:dyDescent="0.3">
      <c r="A443">
        <v>442</v>
      </c>
      <c r="B443">
        <v>277</v>
      </c>
      <c r="C443" s="1">
        <v>45549</v>
      </c>
      <c r="D443" t="s">
        <v>11</v>
      </c>
    </row>
    <row r="444" spans="1:4" x14ac:dyDescent="0.3">
      <c r="A444">
        <v>443</v>
      </c>
      <c r="B444">
        <v>249</v>
      </c>
      <c r="C444" s="1">
        <v>45497</v>
      </c>
      <c r="D444" t="s">
        <v>11</v>
      </c>
    </row>
    <row r="445" spans="1:4" x14ac:dyDescent="0.3">
      <c r="A445">
        <v>444</v>
      </c>
      <c r="B445">
        <v>164</v>
      </c>
      <c r="C445" s="1">
        <v>45368</v>
      </c>
      <c r="D445" t="s">
        <v>11</v>
      </c>
    </row>
    <row r="446" spans="1:4" x14ac:dyDescent="0.3">
      <c r="A446">
        <v>445</v>
      </c>
      <c r="B446">
        <v>192</v>
      </c>
      <c r="C446" s="1">
        <v>45303</v>
      </c>
      <c r="D446" t="s">
        <v>11</v>
      </c>
    </row>
    <row r="447" spans="1:4" x14ac:dyDescent="0.3">
      <c r="A447">
        <v>446</v>
      </c>
      <c r="B447">
        <v>227</v>
      </c>
      <c r="C447" s="1">
        <v>45586</v>
      </c>
      <c r="D447" t="s">
        <v>11</v>
      </c>
    </row>
    <row r="448" spans="1:4" x14ac:dyDescent="0.3">
      <c r="A448">
        <v>447</v>
      </c>
      <c r="B448">
        <v>177</v>
      </c>
      <c r="C448" s="1">
        <v>45515</v>
      </c>
      <c r="D448" t="s">
        <v>13</v>
      </c>
    </row>
    <row r="449" spans="1:4" x14ac:dyDescent="0.3">
      <c r="A449">
        <v>448</v>
      </c>
      <c r="B449">
        <v>99</v>
      </c>
      <c r="C449" s="1">
        <v>45304</v>
      </c>
      <c r="D449" t="s">
        <v>11</v>
      </c>
    </row>
    <row r="450" spans="1:4" x14ac:dyDescent="0.3">
      <c r="A450">
        <v>449</v>
      </c>
      <c r="B450">
        <v>36</v>
      </c>
      <c r="C450" s="1">
        <v>45337</v>
      </c>
      <c r="D450" t="s">
        <v>11</v>
      </c>
    </row>
    <row r="451" spans="1:4" x14ac:dyDescent="0.3">
      <c r="A451">
        <v>450</v>
      </c>
      <c r="B451">
        <v>96</v>
      </c>
      <c r="C451" s="1">
        <v>45446</v>
      </c>
      <c r="D451" t="s">
        <v>11</v>
      </c>
    </row>
    <row r="452" spans="1:4" x14ac:dyDescent="0.3">
      <c r="A452">
        <v>451</v>
      </c>
      <c r="B452">
        <v>152</v>
      </c>
      <c r="C452" s="1">
        <v>45404</v>
      </c>
      <c r="D452" t="s">
        <v>11</v>
      </c>
    </row>
    <row r="453" spans="1:4" x14ac:dyDescent="0.3">
      <c r="A453">
        <v>452</v>
      </c>
      <c r="B453">
        <v>151</v>
      </c>
      <c r="C453" s="1">
        <v>45524</v>
      </c>
      <c r="D453" t="s">
        <v>12</v>
      </c>
    </row>
    <row r="454" spans="1:4" x14ac:dyDescent="0.3">
      <c r="A454">
        <v>453</v>
      </c>
      <c r="B454">
        <v>190</v>
      </c>
      <c r="C454" s="1">
        <v>45308</v>
      </c>
      <c r="D454" t="s">
        <v>11</v>
      </c>
    </row>
    <row r="455" spans="1:4" x14ac:dyDescent="0.3">
      <c r="A455">
        <v>454</v>
      </c>
      <c r="B455">
        <v>224</v>
      </c>
      <c r="C455" s="1">
        <v>45651</v>
      </c>
      <c r="D455" t="s">
        <v>11</v>
      </c>
    </row>
    <row r="456" spans="1:4" x14ac:dyDescent="0.3">
      <c r="A456">
        <v>455</v>
      </c>
      <c r="B456">
        <v>37</v>
      </c>
      <c r="C456" s="1">
        <v>45514</v>
      </c>
      <c r="D456" t="s">
        <v>13</v>
      </c>
    </row>
    <row r="457" spans="1:4" x14ac:dyDescent="0.3">
      <c r="A457">
        <v>456</v>
      </c>
      <c r="B457">
        <v>268</v>
      </c>
      <c r="C457" s="1">
        <v>45645</v>
      </c>
      <c r="D457" t="s">
        <v>11</v>
      </c>
    </row>
    <row r="458" spans="1:4" x14ac:dyDescent="0.3">
      <c r="A458">
        <v>457</v>
      </c>
      <c r="B458">
        <v>183</v>
      </c>
      <c r="C458" s="1">
        <v>45479</v>
      </c>
      <c r="D458" t="s">
        <v>13</v>
      </c>
    </row>
    <row r="459" spans="1:4" x14ac:dyDescent="0.3">
      <c r="A459">
        <v>458</v>
      </c>
      <c r="B459">
        <v>13</v>
      </c>
      <c r="C459" s="1">
        <v>45635</v>
      </c>
      <c r="D459" t="s">
        <v>11</v>
      </c>
    </row>
    <row r="460" spans="1:4" x14ac:dyDescent="0.3">
      <c r="A460">
        <v>459</v>
      </c>
      <c r="B460">
        <v>279</v>
      </c>
      <c r="C460" s="1">
        <v>45656</v>
      </c>
      <c r="D460" t="s">
        <v>11</v>
      </c>
    </row>
    <row r="461" spans="1:4" x14ac:dyDescent="0.3">
      <c r="A461">
        <v>460</v>
      </c>
      <c r="B461">
        <v>217</v>
      </c>
      <c r="C461" s="1">
        <v>45454</v>
      </c>
      <c r="D461" t="s">
        <v>11</v>
      </c>
    </row>
    <row r="462" spans="1:4" x14ac:dyDescent="0.3">
      <c r="A462">
        <v>461</v>
      </c>
      <c r="B462">
        <v>286</v>
      </c>
      <c r="C462" s="1">
        <v>45617</v>
      </c>
      <c r="D462" t="s">
        <v>11</v>
      </c>
    </row>
    <row r="463" spans="1:4" x14ac:dyDescent="0.3">
      <c r="A463">
        <v>462</v>
      </c>
      <c r="B463">
        <v>273</v>
      </c>
      <c r="C463" s="1">
        <v>45365</v>
      </c>
      <c r="D463" t="s">
        <v>13</v>
      </c>
    </row>
    <row r="464" spans="1:4" x14ac:dyDescent="0.3">
      <c r="A464">
        <v>463</v>
      </c>
      <c r="B464">
        <v>62</v>
      </c>
      <c r="C464" s="1">
        <v>45524</v>
      </c>
      <c r="D464" t="s">
        <v>11</v>
      </c>
    </row>
    <row r="465" spans="1:4" x14ac:dyDescent="0.3">
      <c r="A465">
        <v>464</v>
      </c>
      <c r="B465">
        <v>84</v>
      </c>
      <c r="C465" s="1">
        <v>45515</v>
      </c>
      <c r="D465" t="s">
        <v>11</v>
      </c>
    </row>
    <row r="466" spans="1:4" x14ac:dyDescent="0.3">
      <c r="A466">
        <v>465</v>
      </c>
      <c r="B466">
        <v>217</v>
      </c>
      <c r="C466" s="1">
        <v>45610</v>
      </c>
      <c r="D466" t="s">
        <v>11</v>
      </c>
    </row>
    <row r="467" spans="1:4" x14ac:dyDescent="0.3">
      <c r="A467">
        <v>466</v>
      </c>
      <c r="B467">
        <v>187</v>
      </c>
      <c r="C467" s="1">
        <v>45351</v>
      </c>
      <c r="D467" t="s">
        <v>11</v>
      </c>
    </row>
    <row r="468" spans="1:4" x14ac:dyDescent="0.3">
      <c r="A468">
        <v>467</v>
      </c>
      <c r="B468">
        <v>19</v>
      </c>
      <c r="C468" s="1">
        <v>45626</v>
      </c>
      <c r="D468" t="s">
        <v>11</v>
      </c>
    </row>
    <row r="469" spans="1:4" x14ac:dyDescent="0.3">
      <c r="A469">
        <v>468</v>
      </c>
      <c r="B469">
        <v>177</v>
      </c>
      <c r="C469" s="1">
        <v>45513</v>
      </c>
      <c r="D469" t="s">
        <v>13</v>
      </c>
    </row>
    <row r="470" spans="1:4" x14ac:dyDescent="0.3">
      <c r="A470">
        <v>469</v>
      </c>
      <c r="B470">
        <v>100</v>
      </c>
      <c r="C470" s="1">
        <v>45328</v>
      </c>
      <c r="D470" t="s">
        <v>11</v>
      </c>
    </row>
    <row r="471" spans="1:4" x14ac:dyDescent="0.3">
      <c r="A471">
        <v>470</v>
      </c>
      <c r="B471">
        <v>233</v>
      </c>
      <c r="C471" s="1">
        <v>45569</v>
      </c>
      <c r="D471" t="s">
        <v>11</v>
      </c>
    </row>
    <row r="472" spans="1:4" x14ac:dyDescent="0.3">
      <c r="A472">
        <v>471</v>
      </c>
      <c r="B472">
        <v>76</v>
      </c>
      <c r="C472" s="1">
        <v>45487</v>
      </c>
      <c r="D472" t="s">
        <v>11</v>
      </c>
    </row>
    <row r="473" spans="1:4" x14ac:dyDescent="0.3">
      <c r="A473">
        <v>472</v>
      </c>
      <c r="B473">
        <v>265</v>
      </c>
      <c r="C473" s="1">
        <v>45643</v>
      </c>
      <c r="D473" t="s">
        <v>11</v>
      </c>
    </row>
    <row r="474" spans="1:4" x14ac:dyDescent="0.3">
      <c r="A474">
        <v>473</v>
      </c>
      <c r="B474">
        <v>284</v>
      </c>
      <c r="C474" s="1">
        <v>45533</v>
      </c>
      <c r="D474" t="s">
        <v>11</v>
      </c>
    </row>
    <row r="475" spans="1:4" x14ac:dyDescent="0.3">
      <c r="A475">
        <v>474</v>
      </c>
      <c r="B475">
        <v>206</v>
      </c>
      <c r="C475" s="1">
        <v>45615</v>
      </c>
      <c r="D475" t="s">
        <v>11</v>
      </c>
    </row>
    <row r="476" spans="1:4" x14ac:dyDescent="0.3">
      <c r="A476">
        <v>475</v>
      </c>
      <c r="B476">
        <v>223</v>
      </c>
      <c r="C476" s="1">
        <v>45510</v>
      </c>
      <c r="D476" t="s">
        <v>12</v>
      </c>
    </row>
    <row r="477" spans="1:4" x14ac:dyDescent="0.3">
      <c r="A477">
        <v>476</v>
      </c>
      <c r="B477">
        <v>52</v>
      </c>
      <c r="C477" s="1">
        <v>45483</v>
      </c>
      <c r="D477" t="s">
        <v>11</v>
      </c>
    </row>
    <row r="478" spans="1:4" x14ac:dyDescent="0.3">
      <c r="A478">
        <v>477</v>
      </c>
      <c r="B478">
        <v>144</v>
      </c>
      <c r="C478" s="1">
        <v>45308</v>
      </c>
      <c r="D478" t="s">
        <v>11</v>
      </c>
    </row>
    <row r="479" spans="1:4" x14ac:dyDescent="0.3">
      <c r="A479">
        <v>478</v>
      </c>
      <c r="B479">
        <v>69</v>
      </c>
      <c r="C479" s="1">
        <v>45303</v>
      </c>
      <c r="D479" t="s">
        <v>11</v>
      </c>
    </row>
    <row r="480" spans="1:4" x14ac:dyDescent="0.3">
      <c r="A480">
        <v>479</v>
      </c>
      <c r="B480">
        <v>99</v>
      </c>
      <c r="C480" s="1">
        <v>45484</v>
      </c>
      <c r="D480" t="s">
        <v>12</v>
      </c>
    </row>
    <row r="481" spans="1:4" x14ac:dyDescent="0.3">
      <c r="A481">
        <v>480</v>
      </c>
      <c r="B481">
        <v>25</v>
      </c>
      <c r="C481" s="1">
        <v>45313</v>
      </c>
      <c r="D481" t="s">
        <v>11</v>
      </c>
    </row>
    <row r="482" spans="1:4" x14ac:dyDescent="0.3">
      <c r="A482">
        <v>481</v>
      </c>
      <c r="B482">
        <v>53</v>
      </c>
      <c r="C482" s="1">
        <v>45411</v>
      </c>
      <c r="D482" t="s">
        <v>11</v>
      </c>
    </row>
    <row r="483" spans="1:4" x14ac:dyDescent="0.3">
      <c r="A483">
        <v>482</v>
      </c>
      <c r="B483">
        <v>151</v>
      </c>
      <c r="C483" s="1">
        <v>45501</v>
      </c>
      <c r="D483" t="s">
        <v>11</v>
      </c>
    </row>
    <row r="484" spans="1:4" x14ac:dyDescent="0.3">
      <c r="A484">
        <v>483</v>
      </c>
      <c r="B484">
        <v>144</v>
      </c>
      <c r="C484" s="1">
        <v>45597</v>
      </c>
      <c r="D484" t="s">
        <v>11</v>
      </c>
    </row>
    <row r="485" spans="1:4" x14ac:dyDescent="0.3">
      <c r="A485">
        <v>484</v>
      </c>
      <c r="B485">
        <v>57</v>
      </c>
      <c r="C485" s="1">
        <v>45561</v>
      </c>
      <c r="D485" t="s">
        <v>11</v>
      </c>
    </row>
    <row r="486" spans="1:4" x14ac:dyDescent="0.3">
      <c r="A486">
        <v>485</v>
      </c>
      <c r="B486">
        <v>39</v>
      </c>
      <c r="C486" s="1">
        <v>45483</v>
      </c>
      <c r="D486" t="s">
        <v>11</v>
      </c>
    </row>
    <row r="487" spans="1:4" x14ac:dyDescent="0.3">
      <c r="A487">
        <v>486</v>
      </c>
      <c r="B487">
        <v>109</v>
      </c>
      <c r="C487" s="1">
        <v>45466</v>
      </c>
      <c r="D487" t="s">
        <v>11</v>
      </c>
    </row>
    <row r="488" spans="1:4" x14ac:dyDescent="0.3">
      <c r="A488">
        <v>487</v>
      </c>
      <c r="B488">
        <v>181</v>
      </c>
      <c r="C488" s="1">
        <v>45576</v>
      </c>
      <c r="D488" t="s">
        <v>11</v>
      </c>
    </row>
    <row r="489" spans="1:4" x14ac:dyDescent="0.3">
      <c r="A489">
        <v>488</v>
      </c>
      <c r="B489">
        <v>42</v>
      </c>
      <c r="C489" s="1">
        <v>45495</v>
      </c>
      <c r="D489" t="s">
        <v>13</v>
      </c>
    </row>
    <row r="490" spans="1:4" x14ac:dyDescent="0.3">
      <c r="A490">
        <v>489</v>
      </c>
      <c r="B490">
        <v>186</v>
      </c>
      <c r="C490" s="1">
        <v>45455</v>
      </c>
      <c r="D490" t="s">
        <v>12</v>
      </c>
    </row>
    <row r="491" spans="1:4" x14ac:dyDescent="0.3">
      <c r="A491">
        <v>490</v>
      </c>
      <c r="B491">
        <v>223</v>
      </c>
      <c r="C491" s="1">
        <v>45542</v>
      </c>
      <c r="D491" t="s">
        <v>11</v>
      </c>
    </row>
    <row r="492" spans="1:4" x14ac:dyDescent="0.3">
      <c r="A492">
        <v>491</v>
      </c>
      <c r="B492">
        <v>122</v>
      </c>
      <c r="C492" s="1">
        <v>45518</v>
      </c>
      <c r="D492" t="s">
        <v>11</v>
      </c>
    </row>
    <row r="493" spans="1:4" x14ac:dyDescent="0.3">
      <c r="A493">
        <v>492</v>
      </c>
      <c r="B493">
        <v>133</v>
      </c>
      <c r="C493" s="1">
        <v>45298</v>
      </c>
      <c r="D493" t="s">
        <v>11</v>
      </c>
    </row>
    <row r="494" spans="1:4" x14ac:dyDescent="0.3">
      <c r="A494">
        <v>493</v>
      </c>
      <c r="B494">
        <v>163</v>
      </c>
      <c r="C494" s="1">
        <v>45320</v>
      </c>
      <c r="D494" t="s">
        <v>11</v>
      </c>
    </row>
    <row r="495" spans="1:4" x14ac:dyDescent="0.3">
      <c r="A495">
        <v>494</v>
      </c>
      <c r="B495">
        <v>215</v>
      </c>
      <c r="C495" s="1">
        <v>45324</v>
      </c>
      <c r="D495" t="s">
        <v>11</v>
      </c>
    </row>
    <row r="496" spans="1:4" x14ac:dyDescent="0.3">
      <c r="A496">
        <v>495</v>
      </c>
      <c r="B496">
        <v>221</v>
      </c>
      <c r="C496" s="1">
        <v>45425</v>
      </c>
      <c r="D496" t="s">
        <v>11</v>
      </c>
    </row>
    <row r="497" spans="1:4" x14ac:dyDescent="0.3">
      <c r="A497">
        <v>496</v>
      </c>
      <c r="B497">
        <v>235</v>
      </c>
      <c r="C497" s="1">
        <v>45370</v>
      </c>
      <c r="D497" t="s">
        <v>11</v>
      </c>
    </row>
    <row r="498" spans="1:4" x14ac:dyDescent="0.3">
      <c r="A498">
        <v>497</v>
      </c>
      <c r="B498">
        <v>146</v>
      </c>
      <c r="C498" s="1">
        <v>45349</v>
      </c>
      <c r="D498" t="s">
        <v>12</v>
      </c>
    </row>
    <row r="499" spans="1:4" x14ac:dyDescent="0.3">
      <c r="A499">
        <v>498</v>
      </c>
      <c r="B499">
        <v>239</v>
      </c>
      <c r="C499" s="1">
        <v>45317</v>
      </c>
      <c r="D499" t="s">
        <v>11</v>
      </c>
    </row>
    <row r="500" spans="1:4" x14ac:dyDescent="0.3">
      <c r="A500">
        <v>499</v>
      </c>
      <c r="B500">
        <v>76</v>
      </c>
      <c r="C500" s="1">
        <v>45517</v>
      </c>
      <c r="D500" t="s">
        <v>11</v>
      </c>
    </row>
    <row r="501" spans="1:4" x14ac:dyDescent="0.3">
      <c r="A501">
        <v>500</v>
      </c>
      <c r="B501">
        <v>9</v>
      </c>
      <c r="C501" s="1">
        <v>45576</v>
      </c>
      <c r="D501" t="s">
        <v>11</v>
      </c>
    </row>
    <row r="502" spans="1:4" x14ac:dyDescent="0.3">
      <c r="A502">
        <v>501</v>
      </c>
      <c r="B502">
        <v>74</v>
      </c>
      <c r="C502" s="1">
        <v>45295</v>
      </c>
      <c r="D502" t="s">
        <v>11</v>
      </c>
    </row>
    <row r="503" spans="1:4" x14ac:dyDescent="0.3">
      <c r="A503">
        <v>502</v>
      </c>
      <c r="B503">
        <v>253</v>
      </c>
      <c r="C503" s="1">
        <v>45390</v>
      </c>
      <c r="D503" t="s">
        <v>11</v>
      </c>
    </row>
    <row r="504" spans="1:4" x14ac:dyDescent="0.3">
      <c r="A504">
        <v>503</v>
      </c>
      <c r="B504">
        <v>230</v>
      </c>
      <c r="C504" s="1">
        <v>45330</v>
      </c>
      <c r="D504" t="s">
        <v>11</v>
      </c>
    </row>
    <row r="505" spans="1:4" x14ac:dyDescent="0.3">
      <c r="A505">
        <v>504</v>
      </c>
      <c r="B505">
        <v>7</v>
      </c>
      <c r="C505" s="1">
        <v>45562</v>
      </c>
      <c r="D505" t="s">
        <v>11</v>
      </c>
    </row>
    <row r="506" spans="1:4" x14ac:dyDescent="0.3">
      <c r="A506">
        <v>505</v>
      </c>
      <c r="B506">
        <v>174</v>
      </c>
      <c r="C506" s="1">
        <v>45576</v>
      </c>
      <c r="D506" t="s">
        <v>11</v>
      </c>
    </row>
    <row r="507" spans="1:4" x14ac:dyDescent="0.3">
      <c r="A507">
        <v>506</v>
      </c>
      <c r="B507">
        <v>141</v>
      </c>
      <c r="C507" s="1">
        <v>45448</v>
      </c>
      <c r="D507" t="s">
        <v>11</v>
      </c>
    </row>
    <row r="508" spans="1:4" x14ac:dyDescent="0.3">
      <c r="A508">
        <v>507</v>
      </c>
      <c r="B508">
        <v>168</v>
      </c>
      <c r="C508" s="1">
        <v>45366</v>
      </c>
      <c r="D508" t="s">
        <v>11</v>
      </c>
    </row>
    <row r="509" spans="1:4" x14ac:dyDescent="0.3">
      <c r="A509">
        <v>508</v>
      </c>
      <c r="B509">
        <v>170</v>
      </c>
      <c r="C509" s="1">
        <v>45579</v>
      </c>
      <c r="D509" t="s">
        <v>12</v>
      </c>
    </row>
    <row r="510" spans="1:4" x14ac:dyDescent="0.3">
      <c r="A510">
        <v>509</v>
      </c>
      <c r="B510">
        <v>283</v>
      </c>
      <c r="C510" s="1">
        <v>45421</v>
      </c>
      <c r="D510" t="s">
        <v>12</v>
      </c>
    </row>
    <row r="511" spans="1:4" x14ac:dyDescent="0.3">
      <c r="A511">
        <v>510</v>
      </c>
      <c r="B511">
        <v>122</v>
      </c>
      <c r="C511" s="1">
        <v>45466</v>
      </c>
      <c r="D511" t="s">
        <v>12</v>
      </c>
    </row>
    <row r="512" spans="1:4" x14ac:dyDescent="0.3">
      <c r="A512">
        <v>511</v>
      </c>
      <c r="B512">
        <v>194</v>
      </c>
      <c r="C512" s="1">
        <v>45375</v>
      </c>
      <c r="D512" t="s">
        <v>11</v>
      </c>
    </row>
    <row r="513" spans="1:4" x14ac:dyDescent="0.3">
      <c r="A513">
        <v>512</v>
      </c>
      <c r="B513">
        <v>5</v>
      </c>
      <c r="C513" s="1">
        <v>45313</v>
      </c>
      <c r="D513" t="s">
        <v>11</v>
      </c>
    </row>
    <row r="514" spans="1:4" x14ac:dyDescent="0.3">
      <c r="A514">
        <v>513</v>
      </c>
      <c r="B514">
        <v>29</v>
      </c>
      <c r="C514" s="1">
        <v>45318</v>
      </c>
      <c r="D514" t="s">
        <v>13</v>
      </c>
    </row>
    <row r="515" spans="1:4" x14ac:dyDescent="0.3">
      <c r="A515">
        <v>514</v>
      </c>
      <c r="B515">
        <v>165</v>
      </c>
      <c r="C515" s="1">
        <v>45486</v>
      </c>
      <c r="D515" t="s">
        <v>11</v>
      </c>
    </row>
    <row r="516" spans="1:4" x14ac:dyDescent="0.3">
      <c r="A516">
        <v>515</v>
      </c>
      <c r="B516">
        <v>136</v>
      </c>
      <c r="C516" s="1">
        <v>45628</v>
      </c>
      <c r="D516" t="s">
        <v>11</v>
      </c>
    </row>
    <row r="517" spans="1:4" x14ac:dyDescent="0.3">
      <c r="A517">
        <v>516</v>
      </c>
      <c r="B517">
        <v>145</v>
      </c>
      <c r="C517" s="1">
        <v>45527</v>
      </c>
      <c r="D517" t="s">
        <v>11</v>
      </c>
    </row>
    <row r="518" spans="1:4" x14ac:dyDescent="0.3">
      <c r="A518">
        <v>517</v>
      </c>
      <c r="B518">
        <v>217</v>
      </c>
      <c r="C518" s="1">
        <v>45383</v>
      </c>
      <c r="D518" t="s">
        <v>11</v>
      </c>
    </row>
    <row r="519" spans="1:4" x14ac:dyDescent="0.3">
      <c r="A519">
        <v>518</v>
      </c>
      <c r="B519">
        <v>132</v>
      </c>
      <c r="C519" s="1">
        <v>45312</v>
      </c>
      <c r="D519" t="s">
        <v>13</v>
      </c>
    </row>
    <row r="520" spans="1:4" x14ac:dyDescent="0.3">
      <c r="A520">
        <v>519</v>
      </c>
      <c r="B520">
        <v>292</v>
      </c>
      <c r="C520" s="1">
        <v>45594</v>
      </c>
      <c r="D520" t="s">
        <v>11</v>
      </c>
    </row>
    <row r="521" spans="1:4" x14ac:dyDescent="0.3">
      <c r="A521">
        <v>520</v>
      </c>
      <c r="B521">
        <v>70</v>
      </c>
      <c r="C521" s="1">
        <v>45648</v>
      </c>
      <c r="D521" t="s">
        <v>11</v>
      </c>
    </row>
    <row r="522" spans="1:4" x14ac:dyDescent="0.3">
      <c r="A522">
        <v>521</v>
      </c>
      <c r="B522">
        <v>252</v>
      </c>
      <c r="C522" s="1">
        <v>45375</v>
      </c>
      <c r="D522" t="s">
        <v>11</v>
      </c>
    </row>
    <row r="523" spans="1:4" x14ac:dyDescent="0.3">
      <c r="A523">
        <v>522</v>
      </c>
      <c r="B523">
        <v>275</v>
      </c>
      <c r="C523" s="1">
        <v>45553</v>
      </c>
      <c r="D523" t="s">
        <v>11</v>
      </c>
    </row>
    <row r="524" spans="1:4" x14ac:dyDescent="0.3">
      <c r="A524">
        <v>523</v>
      </c>
      <c r="B524">
        <v>182</v>
      </c>
      <c r="C524" s="1">
        <v>45438</v>
      </c>
      <c r="D524" t="s">
        <v>12</v>
      </c>
    </row>
    <row r="525" spans="1:4" x14ac:dyDescent="0.3">
      <c r="A525">
        <v>524</v>
      </c>
      <c r="B525">
        <v>167</v>
      </c>
      <c r="C525" s="1">
        <v>45548</v>
      </c>
      <c r="D525" t="s">
        <v>11</v>
      </c>
    </row>
    <row r="526" spans="1:4" x14ac:dyDescent="0.3">
      <c r="A526">
        <v>525</v>
      </c>
      <c r="B526">
        <v>91</v>
      </c>
      <c r="C526" s="1">
        <v>45349</v>
      </c>
      <c r="D526" t="s">
        <v>11</v>
      </c>
    </row>
    <row r="527" spans="1:4" x14ac:dyDescent="0.3">
      <c r="A527">
        <v>526</v>
      </c>
      <c r="B527">
        <v>202</v>
      </c>
      <c r="C527" s="1">
        <v>45306</v>
      </c>
      <c r="D527" t="s">
        <v>13</v>
      </c>
    </row>
    <row r="528" spans="1:4" x14ac:dyDescent="0.3">
      <c r="A528">
        <v>527</v>
      </c>
      <c r="B528">
        <v>19</v>
      </c>
      <c r="C528" s="1">
        <v>45453</v>
      </c>
      <c r="D528" t="s">
        <v>11</v>
      </c>
    </row>
    <row r="529" spans="1:4" x14ac:dyDescent="0.3">
      <c r="A529">
        <v>528</v>
      </c>
      <c r="B529">
        <v>39</v>
      </c>
      <c r="C529" s="1">
        <v>45454</v>
      </c>
      <c r="D529" t="s">
        <v>11</v>
      </c>
    </row>
    <row r="530" spans="1:4" x14ac:dyDescent="0.3">
      <c r="A530">
        <v>529</v>
      </c>
      <c r="B530">
        <v>126</v>
      </c>
      <c r="C530" s="1">
        <v>45611</v>
      </c>
      <c r="D530" t="s">
        <v>11</v>
      </c>
    </row>
    <row r="531" spans="1:4" x14ac:dyDescent="0.3">
      <c r="A531">
        <v>530</v>
      </c>
      <c r="B531">
        <v>173</v>
      </c>
      <c r="C531" s="1">
        <v>45572</v>
      </c>
      <c r="D531" t="s">
        <v>11</v>
      </c>
    </row>
    <row r="532" spans="1:4" x14ac:dyDescent="0.3">
      <c r="A532">
        <v>531</v>
      </c>
      <c r="B532">
        <v>141</v>
      </c>
      <c r="C532" s="1">
        <v>45571</v>
      </c>
      <c r="D532" t="s">
        <v>11</v>
      </c>
    </row>
    <row r="533" spans="1:4" x14ac:dyDescent="0.3">
      <c r="A533">
        <v>532</v>
      </c>
      <c r="B533">
        <v>242</v>
      </c>
      <c r="C533" s="1">
        <v>45303</v>
      </c>
      <c r="D533" t="s">
        <v>11</v>
      </c>
    </row>
    <row r="534" spans="1:4" x14ac:dyDescent="0.3">
      <c r="A534">
        <v>533</v>
      </c>
      <c r="B534">
        <v>220</v>
      </c>
      <c r="C534" s="1">
        <v>45565</v>
      </c>
      <c r="D534" t="s">
        <v>11</v>
      </c>
    </row>
    <row r="535" spans="1:4" x14ac:dyDescent="0.3">
      <c r="A535">
        <v>534</v>
      </c>
      <c r="B535">
        <v>126</v>
      </c>
      <c r="C535" s="1">
        <v>45562</v>
      </c>
      <c r="D535" t="s">
        <v>11</v>
      </c>
    </row>
    <row r="536" spans="1:4" x14ac:dyDescent="0.3">
      <c r="A536">
        <v>535</v>
      </c>
      <c r="B536">
        <v>58</v>
      </c>
      <c r="C536" s="1">
        <v>45499</v>
      </c>
      <c r="D536" t="s">
        <v>13</v>
      </c>
    </row>
    <row r="537" spans="1:4" x14ac:dyDescent="0.3">
      <c r="A537">
        <v>536</v>
      </c>
      <c r="B537">
        <v>148</v>
      </c>
      <c r="C537" s="1">
        <v>45318</v>
      </c>
      <c r="D537" t="s">
        <v>11</v>
      </c>
    </row>
    <row r="538" spans="1:4" x14ac:dyDescent="0.3">
      <c r="A538">
        <v>537</v>
      </c>
      <c r="B538">
        <v>1</v>
      </c>
      <c r="C538" s="1">
        <v>45363</v>
      </c>
      <c r="D538" t="s">
        <v>11</v>
      </c>
    </row>
    <row r="539" spans="1:4" x14ac:dyDescent="0.3">
      <c r="A539">
        <v>538</v>
      </c>
      <c r="B539">
        <v>190</v>
      </c>
      <c r="C539" s="1">
        <v>45351</v>
      </c>
      <c r="D539" t="s">
        <v>11</v>
      </c>
    </row>
    <row r="540" spans="1:4" x14ac:dyDescent="0.3">
      <c r="A540">
        <v>539</v>
      </c>
      <c r="B540">
        <v>191</v>
      </c>
      <c r="C540" s="1">
        <v>45436</v>
      </c>
      <c r="D540" t="s">
        <v>11</v>
      </c>
    </row>
    <row r="541" spans="1:4" x14ac:dyDescent="0.3">
      <c r="A541">
        <v>540</v>
      </c>
      <c r="B541">
        <v>117</v>
      </c>
      <c r="C541" s="1">
        <v>45384</v>
      </c>
      <c r="D541" t="s">
        <v>11</v>
      </c>
    </row>
    <row r="542" spans="1:4" x14ac:dyDescent="0.3">
      <c r="A542">
        <v>541</v>
      </c>
      <c r="B542">
        <v>134</v>
      </c>
      <c r="C542" s="1">
        <v>45600</v>
      </c>
      <c r="D542" t="s">
        <v>12</v>
      </c>
    </row>
    <row r="543" spans="1:4" x14ac:dyDescent="0.3">
      <c r="A543">
        <v>542</v>
      </c>
      <c r="B543">
        <v>58</v>
      </c>
      <c r="C543" s="1">
        <v>45299</v>
      </c>
      <c r="D543" t="s">
        <v>13</v>
      </c>
    </row>
    <row r="544" spans="1:4" x14ac:dyDescent="0.3">
      <c r="A544">
        <v>543</v>
      </c>
      <c r="B544">
        <v>44</v>
      </c>
      <c r="C544" s="1">
        <v>45370</v>
      </c>
      <c r="D544" t="s">
        <v>11</v>
      </c>
    </row>
    <row r="545" spans="1:4" x14ac:dyDescent="0.3">
      <c r="A545">
        <v>544</v>
      </c>
      <c r="B545">
        <v>173</v>
      </c>
      <c r="C545" s="1">
        <v>45318</v>
      </c>
      <c r="D545" t="s">
        <v>13</v>
      </c>
    </row>
    <row r="546" spans="1:4" x14ac:dyDescent="0.3">
      <c r="A546">
        <v>545</v>
      </c>
      <c r="B546">
        <v>160</v>
      </c>
      <c r="C546" s="1">
        <v>45465</v>
      </c>
      <c r="D546" t="s">
        <v>11</v>
      </c>
    </row>
    <row r="547" spans="1:4" x14ac:dyDescent="0.3">
      <c r="A547">
        <v>546</v>
      </c>
      <c r="B547">
        <v>173</v>
      </c>
      <c r="C547" s="1">
        <v>45341</v>
      </c>
      <c r="D547" t="s">
        <v>11</v>
      </c>
    </row>
    <row r="548" spans="1:4" x14ac:dyDescent="0.3">
      <c r="A548">
        <v>547</v>
      </c>
      <c r="B548">
        <v>149</v>
      </c>
      <c r="C548" s="1">
        <v>45490</v>
      </c>
      <c r="D548" t="s">
        <v>11</v>
      </c>
    </row>
    <row r="549" spans="1:4" x14ac:dyDescent="0.3">
      <c r="A549">
        <v>548</v>
      </c>
      <c r="B549">
        <v>80</v>
      </c>
      <c r="C549" s="1">
        <v>45640</v>
      </c>
      <c r="D549" t="s">
        <v>12</v>
      </c>
    </row>
    <row r="550" spans="1:4" x14ac:dyDescent="0.3">
      <c r="A550">
        <v>549</v>
      </c>
      <c r="B550">
        <v>213</v>
      </c>
      <c r="C550" s="1">
        <v>45472</v>
      </c>
      <c r="D550" t="s">
        <v>11</v>
      </c>
    </row>
    <row r="551" spans="1:4" x14ac:dyDescent="0.3">
      <c r="A551">
        <v>550</v>
      </c>
      <c r="B551">
        <v>203</v>
      </c>
      <c r="C551" s="1">
        <v>45315</v>
      </c>
      <c r="D551" t="s">
        <v>11</v>
      </c>
    </row>
    <row r="552" spans="1:4" x14ac:dyDescent="0.3">
      <c r="A552">
        <v>551</v>
      </c>
      <c r="B552">
        <v>252</v>
      </c>
      <c r="C552" s="1">
        <v>45607</v>
      </c>
      <c r="D552" t="s">
        <v>11</v>
      </c>
    </row>
    <row r="553" spans="1:4" x14ac:dyDescent="0.3">
      <c r="A553">
        <v>552</v>
      </c>
      <c r="B553">
        <v>229</v>
      </c>
      <c r="C553" s="1">
        <v>45337</v>
      </c>
      <c r="D553" t="s">
        <v>11</v>
      </c>
    </row>
    <row r="554" spans="1:4" x14ac:dyDescent="0.3">
      <c r="A554">
        <v>553</v>
      </c>
      <c r="B554">
        <v>164</v>
      </c>
      <c r="C554" s="1">
        <v>45306</v>
      </c>
      <c r="D554" t="s">
        <v>11</v>
      </c>
    </row>
    <row r="555" spans="1:4" x14ac:dyDescent="0.3">
      <c r="A555">
        <v>554</v>
      </c>
      <c r="B555">
        <v>227</v>
      </c>
      <c r="C555" s="1">
        <v>45444</v>
      </c>
      <c r="D555" t="s">
        <v>12</v>
      </c>
    </row>
    <row r="556" spans="1:4" x14ac:dyDescent="0.3">
      <c r="A556">
        <v>555</v>
      </c>
      <c r="B556">
        <v>147</v>
      </c>
      <c r="C556" s="1">
        <v>45513</v>
      </c>
      <c r="D556" t="s">
        <v>12</v>
      </c>
    </row>
    <row r="557" spans="1:4" x14ac:dyDescent="0.3">
      <c r="A557">
        <v>556</v>
      </c>
      <c r="B557">
        <v>20</v>
      </c>
      <c r="C557" s="1">
        <v>45497</v>
      </c>
      <c r="D557" t="s">
        <v>11</v>
      </c>
    </row>
    <row r="558" spans="1:4" x14ac:dyDescent="0.3">
      <c r="A558">
        <v>557</v>
      </c>
      <c r="B558">
        <v>47</v>
      </c>
      <c r="C558" s="1">
        <v>45564</v>
      </c>
      <c r="D558" t="s">
        <v>13</v>
      </c>
    </row>
    <row r="559" spans="1:4" x14ac:dyDescent="0.3">
      <c r="A559">
        <v>558</v>
      </c>
      <c r="B559">
        <v>233</v>
      </c>
      <c r="C559" s="1">
        <v>45527</v>
      </c>
      <c r="D559" t="s">
        <v>11</v>
      </c>
    </row>
    <row r="560" spans="1:4" x14ac:dyDescent="0.3">
      <c r="A560">
        <v>559</v>
      </c>
      <c r="B560">
        <v>14</v>
      </c>
      <c r="C560" s="1">
        <v>45631</v>
      </c>
      <c r="D560" t="s">
        <v>13</v>
      </c>
    </row>
    <row r="561" spans="1:4" x14ac:dyDescent="0.3">
      <c r="A561">
        <v>560</v>
      </c>
      <c r="B561">
        <v>143</v>
      </c>
      <c r="C561" s="1">
        <v>45519</v>
      </c>
      <c r="D561" t="s">
        <v>11</v>
      </c>
    </row>
    <row r="562" spans="1:4" x14ac:dyDescent="0.3">
      <c r="A562">
        <v>561</v>
      </c>
      <c r="B562">
        <v>1</v>
      </c>
      <c r="C562" s="1">
        <v>45300</v>
      </c>
      <c r="D562" t="s">
        <v>11</v>
      </c>
    </row>
    <row r="563" spans="1:4" x14ac:dyDescent="0.3">
      <c r="A563">
        <v>562</v>
      </c>
      <c r="B563">
        <v>54</v>
      </c>
      <c r="C563" s="1">
        <v>45457</v>
      </c>
      <c r="D563" t="s">
        <v>11</v>
      </c>
    </row>
    <row r="564" spans="1:4" x14ac:dyDescent="0.3">
      <c r="A564">
        <v>563</v>
      </c>
      <c r="B564">
        <v>259</v>
      </c>
      <c r="C564" s="1">
        <v>45610</v>
      </c>
      <c r="D564" t="s">
        <v>12</v>
      </c>
    </row>
    <row r="565" spans="1:4" x14ac:dyDescent="0.3">
      <c r="A565">
        <v>564</v>
      </c>
      <c r="B565">
        <v>144</v>
      </c>
      <c r="C565" s="1">
        <v>45505</v>
      </c>
      <c r="D565" t="s">
        <v>11</v>
      </c>
    </row>
    <row r="566" spans="1:4" x14ac:dyDescent="0.3">
      <c r="A566">
        <v>565</v>
      </c>
      <c r="B566">
        <v>12</v>
      </c>
      <c r="C566" s="1">
        <v>45408</v>
      </c>
      <c r="D566" t="s">
        <v>11</v>
      </c>
    </row>
    <row r="567" spans="1:4" x14ac:dyDescent="0.3">
      <c r="A567">
        <v>566</v>
      </c>
      <c r="B567">
        <v>224</v>
      </c>
      <c r="C567" s="1">
        <v>45635</v>
      </c>
      <c r="D567" t="s">
        <v>11</v>
      </c>
    </row>
    <row r="568" spans="1:4" x14ac:dyDescent="0.3">
      <c r="A568">
        <v>567</v>
      </c>
      <c r="B568">
        <v>272</v>
      </c>
      <c r="C568" s="1">
        <v>45363</v>
      </c>
      <c r="D568" t="s">
        <v>11</v>
      </c>
    </row>
    <row r="569" spans="1:4" x14ac:dyDescent="0.3">
      <c r="A569">
        <v>568</v>
      </c>
      <c r="B569">
        <v>156</v>
      </c>
      <c r="C569" s="1">
        <v>45355</v>
      </c>
      <c r="D569" t="s">
        <v>11</v>
      </c>
    </row>
    <row r="570" spans="1:4" x14ac:dyDescent="0.3">
      <c r="A570">
        <v>569</v>
      </c>
      <c r="B570">
        <v>8</v>
      </c>
      <c r="C570" s="1">
        <v>45496</v>
      </c>
      <c r="D570" t="s">
        <v>11</v>
      </c>
    </row>
    <row r="571" spans="1:4" x14ac:dyDescent="0.3">
      <c r="A571">
        <v>570</v>
      </c>
      <c r="B571">
        <v>122</v>
      </c>
      <c r="C571" s="1">
        <v>45500</v>
      </c>
      <c r="D571" t="s">
        <v>12</v>
      </c>
    </row>
    <row r="572" spans="1:4" x14ac:dyDescent="0.3">
      <c r="A572">
        <v>571</v>
      </c>
      <c r="B572">
        <v>164</v>
      </c>
      <c r="C572" s="1">
        <v>45363</v>
      </c>
      <c r="D572" t="s">
        <v>11</v>
      </c>
    </row>
    <row r="573" spans="1:4" x14ac:dyDescent="0.3">
      <c r="A573">
        <v>572</v>
      </c>
      <c r="B573">
        <v>90</v>
      </c>
      <c r="C573" s="1">
        <v>45568</v>
      </c>
      <c r="D573" t="s">
        <v>11</v>
      </c>
    </row>
    <row r="574" spans="1:4" x14ac:dyDescent="0.3">
      <c r="A574">
        <v>573</v>
      </c>
      <c r="B574">
        <v>136</v>
      </c>
      <c r="C574" s="1">
        <v>45565</v>
      </c>
      <c r="D574" t="s">
        <v>11</v>
      </c>
    </row>
    <row r="575" spans="1:4" x14ac:dyDescent="0.3">
      <c r="A575">
        <v>574</v>
      </c>
      <c r="B575">
        <v>186</v>
      </c>
      <c r="C575" s="1">
        <v>45611</v>
      </c>
      <c r="D575" t="s">
        <v>12</v>
      </c>
    </row>
    <row r="576" spans="1:4" x14ac:dyDescent="0.3">
      <c r="A576">
        <v>575</v>
      </c>
      <c r="B576">
        <v>178</v>
      </c>
      <c r="C576" s="1">
        <v>45629</v>
      </c>
      <c r="D576" t="s">
        <v>12</v>
      </c>
    </row>
    <row r="577" spans="1:4" x14ac:dyDescent="0.3">
      <c r="A577">
        <v>576</v>
      </c>
      <c r="B577">
        <v>28</v>
      </c>
      <c r="C577" s="1">
        <v>45386</v>
      </c>
      <c r="D577" t="s">
        <v>11</v>
      </c>
    </row>
    <row r="578" spans="1:4" x14ac:dyDescent="0.3">
      <c r="A578">
        <v>577</v>
      </c>
      <c r="B578">
        <v>220</v>
      </c>
      <c r="C578" s="1">
        <v>45457</v>
      </c>
      <c r="D578" t="s">
        <v>11</v>
      </c>
    </row>
    <row r="579" spans="1:4" x14ac:dyDescent="0.3">
      <c r="A579">
        <v>578</v>
      </c>
      <c r="B579">
        <v>41</v>
      </c>
      <c r="C579" s="1">
        <v>45323</v>
      </c>
      <c r="D579" t="s">
        <v>11</v>
      </c>
    </row>
    <row r="580" spans="1:4" x14ac:dyDescent="0.3">
      <c r="A580">
        <v>579</v>
      </c>
      <c r="B580">
        <v>228</v>
      </c>
      <c r="C580" s="1">
        <v>45302</v>
      </c>
      <c r="D580" t="s">
        <v>11</v>
      </c>
    </row>
    <row r="581" spans="1:4" x14ac:dyDescent="0.3">
      <c r="A581">
        <v>580</v>
      </c>
      <c r="B581">
        <v>192</v>
      </c>
      <c r="C581" s="1">
        <v>45592</v>
      </c>
      <c r="D581" t="s">
        <v>12</v>
      </c>
    </row>
    <row r="582" spans="1:4" x14ac:dyDescent="0.3">
      <c r="A582">
        <v>581</v>
      </c>
      <c r="B582">
        <v>145</v>
      </c>
      <c r="C582" s="1">
        <v>45508</v>
      </c>
      <c r="D582" t="s">
        <v>11</v>
      </c>
    </row>
    <row r="583" spans="1:4" x14ac:dyDescent="0.3">
      <c r="A583">
        <v>582</v>
      </c>
      <c r="B583">
        <v>201</v>
      </c>
      <c r="C583" s="1">
        <v>45580</v>
      </c>
      <c r="D583" t="s">
        <v>11</v>
      </c>
    </row>
    <row r="584" spans="1:4" x14ac:dyDescent="0.3">
      <c r="A584">
        <v>583</v>
      </c>
      <c r="B584">
        <v>212</v>
      </c>
      <c r="C584" s="1">
        <v>45393</v>
      </c>
      <c r="D584" t="s">
        <v>11</v>
      </c>
    </row>
    <row r="585" spans="1:4" x14ac:dyDescent="0.3">
      <c r="A585">
        <v>584</v>
      </c>
      <c r="B585">
        <v>220</v>
      </c>
      <c r="C585" s="1">
        <v>45558</v>
      </c>
      <c r="D585" t="s">
        <v>12</v>
      </c>
    </row>
    <row r="586" spans="1:4" x14ac:dyDescent="0.3">
      <c r="A586">
        <v>585</v>
      </c>
      <c r="B586">
        <v>240</v>
      </c>
      <c r="C586" s="1">
        <v>45505</v>
      </c>
      <c r="D586" t="s">
        <v>11</v>
      </c>
    </row>
    <row r="587" spans="1:4" x14ac:dyDescent="0.3">
      <c r="A587">
        <v>586</v>
      </c>
      <c r="B587">
        <v>46</v>
      </c>
      <c r="C587" s="1">
        <v>45470</v>
      </c>
      <c r="D587" t="s">
        <v>11</v>
      </c>
    </row>
    <row r="588" spans="1:4" x14ac:dyDescent="0.3">
      <c r="A588">
        <v>587</v>
      </c>
      <c r="B588">
        <v>35</v>
      </c>
      <c r="C588" s="1">
        <v>45379</v>
      </c>
      <c r="D588" t="s">
        <v>11</v>
      </c>
    </row>
    <row r="589" spans="1:4" x14ac:dyDescent="0.3">
      <c r="A589">
        <v>588</v>
      </c>
      <c r="B589">
        <v>253</v>
      </c>
      <c r="C589" s="1">
        <v>45332</v>
      </c>
      <c r="D589" t="s">
        <v>12</v>
      </c>
    </row>
    <row r="590" spans="1:4" x14ac:dyDescent="0.3">
      <c r="A590">
        <v>589</v>
      </c>
      <c r="B590">
        <v>82</v>
      </c>
      <c r="C590" s="1">
        <v>45367</v>
      </c>
      <c r="D590" t="s">
        <v>11</v>
      </c>
    </row>
    <row r="591" spans="1:4" x14ac:dyDescent="0.3">
      <c r="A591">
        <v>590</v>
      </c>
      <c r="B591">
        <v>256</v>
      </c>
      <c r="C591" s="1">
        <v>45337</v>
      </c>
      <c r="D591" t="s">
        <v>11</v>
      </c>
    </row>
    <row r="592" spans="1:4" x14ac:dyDescent="0.3">
      <c r="A592">
        <v>591</v>
      </c>
      <c r="B592">
        <v>197</v>
      </c>
      <c r="C592" s="1">
        <v>45451</v>
      </c>
      <c r="D592" t="s">
        <v>11</v>
      </c>
    </row>
    <row r="593" spans="1:4" x14ac:dyDescent="0.3">
      <c r="A593">
        <v>592</v>
      </c>
      <c r="B593">
        <v>10</v>
      </c>
      <c r="C593" s="1">
        <v>45371</v>
      </c>
      <c r="D593" t="s">
        <v>11</v>
      </c>
    </row>
    <row r="594" spans="1:4" x14ac:dyDescent="0.3">
      <c r="A594">
        <v>593</v>
      </c>
      <c r="B594">
        <v>286</v>
      </c>
      <c r="C594" s="1">
        <v>45601</v>
      </c>
      <c r="D594" t="s">
        <v>11</v>
      </c>
    </row>
    <row r="595" spans="1:4" x14ac:dyDescent="0.3">
      <c r="A595">
        <v>594</v>
      </c>
      <c r="B595">
        <v>242</v>
      </c>
      <c r="C595" s="1">
        <v>45377</v>
      </c>
      <c r="D595" t="s">
        <v>11</v>
      </c>
    </row>
    <row r="596" spans="1:4" x14ac:dyDescent="0.3">
      <c r="A596">
        <v>595</v>
      </c>
      <c r="B596">
        <v>251</v>
      </c>
      <c r="C596" s="1">
        <v>45383</v>
      </c>
      <c r="D596" t="s">
        <v>11</v>
      </c>
    </row>
    <row r="597" spans="1:4" x14ac:dyDescent="0.3">
      <c r="A597">
        <v>596</v>
      </c>
      <c r="B597">
        <v>5</v>
      </c>
      <c r="C597" s="1">
        <v>45439</v>
      </c>
      <c r="D597" t="s">
        <v>11</v>
      </c>
    </row>
    <row r="598" spans="1:4" x14ac:dyDescent="0.3">
      <c r="A598">
        <v>597</v>
      </c>
      <c r="B598">
        <v>119</v>
      </c>
      <c r="C598" s="1">
        <v>45452</v>
      </c>
      <c r="D598" t="s">
        <v>11</v>
      </c>
    </row>
    <row r="599" spans="1:4" x14ac:dyDescent="0.3">
      <c r="A599">
        <v>598</v>
      </c>
      <c r="B599">
        <v>289</v>
      </c>
      <c r="C599" s="1">
        <v>45493</v>
      </c>
      <c r="D599" t="s">
        <v>12</v>
      </c>
    </row>
    <row r="600" spans="1:4" x14ac:dyDescent="0.3">
      <c r="A600">
        <v>599</v>
      </c>
      <c r="B600">
        <v>65</v>
      </c>
      <c r="C600" s="1">
        <v>45533</v>
      </c>
      <c r="D600" t="s">
        <v>11</v>
      </c>
    </row>
    <row r="601" spans="1:4" x14ac:dyDescent="0.3">
      <c r="A601">
        <v>600</v>
      </c>
      <c r="B601">
        <v>146</v>
      </c>
      <c r="C601" s="1">
        <v>45644</v>
      </c>
      <c r="D601" t="s">
        <v>13</v>
      </c>
    </row>
    <row r="602" spans="1:4" x14ac:dyDescent="0.3">
      <c r="A602">
        <v>601</v>
      </c>
      <c r="B602">
        <v>224</v>
      </c>
      <c r="C602" s="1">
        <v>45293</v>
      </c>
      <c r="D602" t="s">
        <v>11</v>
      </c>
    </row>
    <row r="603" spans="1:4" x14ac:dyDescent="0.3">
      <c r="A603">
        <v>602</v>
      </c>
      <c r="B603">
        <v>239</v>
      </c>
      <c r="C603" s="1">
        <v>45516</v>
      </c>
      <c r="D603" t="s">
        <v>11</v>
      </c>
    </row>
    <row r="604" spans="1:4" x14ac:dyDescent="0.3">
      <c r="A604">
        <v>603</v>
      </c>
      <c r="B604">
        <v>177</v>
      </c>
      <c r="C604" s="1">
        <v>45580</v>
      </c>
      <c r="D604" t="s">
        <v>11</v>
      </c>
    </row>
    <row r="605" spans="1:4" x14ac:dyDescent="0.3">
      <c r="A605">
        <v>604</v>
      </c>
      <c r="B605">
        <v>267</v>
      </c>
      <c r="C605" s="1">
        <v>45524</v>
      </c>
      <c r="D605" t="s">
        <v>11</v>
      </c>
    </row>
    <row r="606" spans="1:4" x14ac:dyDescent="0.3">
      <c r="A606">
        <v>605</v>
      </c>
      <c r="B606">
        <v>282</v>
      </c>
      <c r="C606" s="1">
        <v>45368</v>
      </c>
      <c r="D606" t="s">
        <v>11</v>
      </c>
    </row>
    <row r="607" spans="1:4" x14ac:dyDescent="0.3">
      <c r="A607">
        <v>606</v>
      </c>
      <c r="B607">
        <v>63</v>
      </c>
      <c r="C607" s="1">
        <v>45407</v>
      </c>
      <c r="D607" t="s">
        <v>11</v>
      </c>
    </row>
    <row r="608" spans="1:4" x14ac:dyDescent="0.3">
      <c r="A608">
        <v>607</v>
      </c>
      <c r="B608">
        <v>217</v>
      </c>
      <c r="C608" s="1">
        <v>45445</v>
      </c>
      <c r="D608" t="s">
        <v>11</v>
      </c>
    </row>
    <row r="609" spans="1:4" x14ac:dyDescent="0.3">
      <c r="A609">
        <v>608</v>
      </c>
      <c r="B609">
        <v>283</v>
      </c>
      <c r="C609" s="1">
        <v>45394</v>
      </c>
      <c r="D609" t="s">
        <v>12</v>
      </c>
    </row>
    <row r="610" spans="1:4" x14ac:dyDescent="0.3">
      <c r="A610">
        <v>609</v>
      </c>
      <c r="B610">
        <v>177</v>
      </c>
      <c r="C610" s="1">
        <v>45485</v>
      </c>
      <c r="D610" t="s">
        <v>11</v>
      </c>
    </row>
    <row r="611" spans="1:4" x14ac:dyDescent="0.3">
      <c r="A611">
        <v>610</v>
      </c>
      <c r="B611">
        <v>98</v>
      </c>
      <c r="C611" s="1">
        <v>45457</v>
      </c>
      <c r="D611" t="s">
        <v>12</v>
      </c>
    </row>
    <row r="612" spans="1:4" x14ac:dyDescent="0.3">
      <c r="A612">
        <v>611</v>
      </c>
      <c r="B612">
        <v>105</v>
      </c>
      <c r="C612" s="1">
        <v>45650</v>
      </c>
      <c r="D612" t="s">
        <v>11</v>
      </c>
    </row>
    <row r="613" spans="1:4" x14ac:dyDescent="0.3">
      <c r="A613">
        <v>612</v>
      </c>
      <c r="B613">
        <v>99</v>
      </c>
      <c r="C613" s="1">
        <v>45381</v>
      </c>
      <c r="D613" t="s">
        <v>11</v>
      </c>
    </row>
    <row r="614" spans="1:4" x14ac:dyDescent="0.3">
      <c r="A614">
        <v>613</v>
      </c>
      <c r="B614">
        <v>6</v>
      </c>
      <c r="C614" s="1">
        <v>45465</v>
      </c>
      <c r="D614" t="s">
        <v>11</v>
      </c>
    </row>
    <row r="615" spans="1:4" x14ac:dyDescent="0.3">
      <c r="A615">
        <v>614</v>
      </c>
      <c r="B615">
        <v>197</v>
      </c>
      <c r="C615" s="1">
        <v>45413</v>
      </c>
      <c r="D615" t="s">
        <v>11</v>
      </c>
    </row>
    <row r="616" spans="1:4" x14ac:dyDescent="0.3">
      <c r="A616">
        <v>615</v>
      </c>
      <c r="B616">
        <v>133</v>
      </c>
      <c r="C616" s="1">
        <v>45434</v>
      </c>
      <c r="D616" t="s">
        <v>11</v>
      </c>
    </row>
    <row r="617" spans="1:4" x14ac:dyDescent="0.3">
      <c r="A617">
        <v>616</v>
      </c>
      <c r="B617">
        <v>259</v>
      </c>
      <c r="C617" s="1">
        <v>45397</v>
      </c>
      <c r="D617" t="s">
        <v>11</v>
      </c>
    </row>
    <row r="618" spans="1:4" x14ac:dyDescent="0.3">
      <c r="A618">
        <v>617</v>
      </c>
      <c r="B618">
        <v>23</v>
      </c>
      <c r="C618" s="1">
        <v>45596</v>
      </c>
      <c r="D618" t="s">
        <v>11</v>
      </c>
    </row>
    <row r="619" spans="1:4" x14ac:dyDescent="0.3">
      <c r="A619">
        <v>618</v>
      </c>
      <c r="B619">
        <v>53</v>
      </c>
      <c r="C619" s="1">
        <v>45651</v>
      </c>
      <c r="D619" t="s">
        <v>11</v>
      </c>
    </row>
    <row r="620" spans="1:4" x14ac:dyDescent="0.3">
      <c r="A620">
        <v>619</v>
      </c>
      <c r="B620">
        <v>165</v>
      </c>
      <c r="C620" s="1">
        <v>45608</v>
      </c>
      <c r="D620" t="s">
        <v>11</v>
      </c>
    </row>
    <row r="621" spans="1:4" x14ac:dyDescent="0.3">
      <c r="A621">
        <v>620</v>
      </c>
      <c r="B621">
        <v>202</v>
      </c>
      <c r="C621" s="1">
        <v>45414</v>
      </c>
      <c r="D621" t="s">
        <v>13</v>
      </c>
    </row>
    <row r="622" spans="1:4" x14ac:dyDescent="0.3">
      <c r="A622">
        <v>621</v>
      </c>
      <c r="B622">
        <v>83</v>
      </c>
      <c r="C622" s="1">
        <v>45300</v>
      </c>
      <c r="D622" t="s">
        <v>12</v>
      </c>
    </row>
    <row r="623" spans="1:4" x14ac:dyDescent="0.3">
      <c r="A623">
        <v>622</v>
      </c>
      <c r="B623">
        <v>145</v>
      </c>
      <c r="C623" s="1">
        <v>45553</v>
      </c>
      <c r="D623" t="s">
        <v>11</v>
      </c>
    </row>
    <row r="624" spans="1:4" x14ac:dyDescent="0.3">
      <c r="A624">
        <v>623</v>
      </c>
      <c r="B624">
        <v>85</v>
      </c>
      <c r="C624" s="1">
        <v>45364</v>
      </c>
      <c r="D624" t="s">
        <v>11</v>
      </c>
    </row>
    <row r="625" spans="1:4" x14ac:dyDescent="0.3">
      <c r="A625">
        <v>624</v>
      </c>
      <c r="B625">
        <v>78</v>
      </c>
      <c r="C625" s="1">
        <v>45650</v>
      </c>
      <c r="D625" t="s">
        <v>11</v>
      </c>
    </row>
    <row r="626" spans="1:4" x14ac:dyDescent="0.3">
      <c r="A626">
        <v>625</v>
      </c>
      <c r="B626">
        <v>1</v>
      </c>
      <c r="C626" s="1">
        <v>45514</v>
      </c>
      <c r="D626" t="s">
        <v>11</v>
      </c>
    </row>
    <row r="627" spans="1:4" x14ac:dyDescent="0.3">
      <c r="A627">
        <v>626</v>
      </c>
      <c r="B627">
        <v>51</v>
      </c>
      <c r="C627" s="1">
        <v>45332</v>
      </c>
      <c r="D627" t="s">
        <v>13</v>
      </c>
    </row>
    <row r="628" spans="1:4" x14ac:dyDescent="0.3">
      <c r="A628">
        <v>627</v>
      </c>
      <c r="B628">
        <v>173</v>
      </c>
      <c r="C628" s="1">
        <v>45495</v>
      </c>
      <c r="D628" t="s">
        <v>11</v>
      </c>
    </row>
    <row r="629" spans="1:4" x14ac:dyDescent="0.3">
      <c r="A629">
        <v>628</v>
      </c>
      <c r="B629">
        <v>205</v>
      </c>
      <c r="C629" s="1">
        <v>45555</v>
      </c>
      <c r="D629" t="s">
        <v>11</v>
      </c>
    </row>
    <row r="630" spans="1:4" x14ac:dyDescent="0.3">
      <c r="A630">
        <v>629</v>
      </c>
      <c r="B630">
        <v>260</v>
      </c>
      <c r="C630" s="1">
        <v>45619</v>
      </c>
      <c r="D630" t="s">
        <v>11</v>
      </c>
    </row>
    <row r="631" spans="1:4" x14ac:dyDescent="0.3">
      <c r="A631">
        <v>630</v>
      </c>
      <c r="B631">
        <v>288</v>
      </c>
      <c r="C631" s="1">
        <v>45469</v>
      </c>
      <c r="D631" t="s">
        <v>11</v>
      </c>
    </row>
    <row r="632" spans="1:4" x14ac:dyDescent="0.3">
      <c r="A632">
        <v>631</v>
      </c>
      <c r="B632">
        <v>34</v>
      </c>
      <c r="C632" s="1">
        <v>45639</v>
      </c>
      <c r="D632" t="s">
        <v>11</v>
      </c>
    </row>
    <row r="633" spans="1:4" x14ac:dyDescent="0.3">
      <c r="A633">
        <v>632</v>
      </c>
      <c r="B633">
        <v>95</v>
      </c>
      <c r="C633" s="1">
        <v>45609</v>
      </c>
      <c r="D633" t="s">
        <v>12</v>
      </c>
    </row>
    <row r="634" spans="1:4" x14ac:dyDescent="0.3">
      <c r="A634">
        <v>633</v>
      </c>
      <c r="B634">
        <v>72</v>
      </c>
      <c r="C634" s="1">
        <v>45375</v>
      </c>
      <c r="D634" t="s">
        <v>11</v>
      </c>
    </row>
    <row r="635" spans="1:4" x14ac:dyDescent="0.3">
      <c r="A635">
        <v>634</v>
      </c>
      <c r="B635">
        <v>39</v>
      </c>
      <c r="C635" s="1">
        <v>45609</v>
      </c>
      <c r="D635" t="s">
        <v>11</v>
      </c>
    </row>
    <row r="636" spans="1:4" x14ac:dyDescent="0.3">
      <c r="A636">
        <v>635</v>
      </c>
      <c r="B636">
        <v>154</v>
      </c>
      <c r="C636" s="1">
        <v>45402</v>
      </c>
      <c r="D636" t="s">
        <v>13</v>
      </c>
    </row>
    <row r="637" spans="1:4" x14ac:dyDescent="0.3">
      <c r="A637">
        <v>636</v>
      </c>
      <c r="B637">
        <v>250</v>
      </c>
      <c r="C637" s="1">
        <v>45542</v>
      </c>
      <c r="D637" t="s">
        <v>11</v>
      </c>
    </row>
    <row r="638" spans="1:4" x14ac:dyDescent="0.3">
      <c r="A638">
        <v>637</v>
      </c>
      <c r="B638">
        <v>162</v>
      </c>
      <c r="C638" s="1">
        <v>45298</v>
      </c>
      <c r="D638" t="s">
        <v>11</v>
      </c>
    </row>
    <row r="639" spans="1:4" x14ac:dyDescent="0.3">
      <c r="A639">
        <v>638</v>
      </c>
      <c r="B639">
        <v>118</v>
      </c>
      <c r="C639" s="1">
        <v>45375</v>
      </c>
      <c r="D639" t="s">
        <v>11</v>
      </c>
    </row>
    <row r="640" spans="1:4" x14ac:dyDescent="0.3">
      <c r="A640">
        <v>639</v>
      </c>
      <c r="B640">
        <v>259</v>
      </c>
      <c r="C640" s="1">
        <v>45499</v>
      </c>
      <c r="D640" t="s">
        <v>11</v>
      </c>
    </row>
    <row r="641" spans="1:4" x14ac:dyDescent="0.3">
      <c r="A641">
        <v>640</v>
      </c>
      <c r="B641">
        <v>268</v>
      </c>
      <c r="C641" s="1">
        <v>45605</v>
      </c>
      <c r="D641" t="s">
        <v>13</v>
      </c>
    </row>
    <row r="642" spans="1:4" x14ac:dyDescent="0.3">
      <c r="A642">
        <v>641</v>
      </c>
      <c r="B642">
        <v>54</v>
      </c>
      <c r="C642" s="1">
        <v>45313</v>
      </c>
      <c r="D642" t="s">
        <v>11</v>
      </c>
    </row>
    <row r="643" spans="1:4" x14ac:dyDescent="0.3">
      <c r="A643">
        <v>642</v>
      </c>
      <c r="B643">
        <v>236</v>
      </c>
      <c r="C643" s="1">
        <v>45294</v>
      </c>
      <c r="D643" t="s">
        <v>12</v>
      </c>
    </row>
    <row r="644" spans="1:4" x14ac:dyDescent="0.3">
      <c r="A644">
        <v>643</v>
      </c>
      <c r="B644">
        <v>222</v>
      </c>
      <c r="C644" s="1">
        <v>45418</v>
      </c>
      <c r="D644" t="s">
        <v>11</v>
      </c>
    </row>
    <row r="645" spans="1:4" x14ac:dyDescent="0.3">
      <c r="A645">
        <v>644</v>
      </c>
      <c r="B645">
        <v>251</v>
      </c>
      <c r="C645" s="1">
        <v>45588</v>
      </c>
      <c r="D645" t="s">
        <v>13</v>
      </c>
    </row>
    <row r="646" spans="1:4" x14ac:dyDescent="0.3">
      <c r="A646">
        <v>645</v>
      </c>
      <c r="B646">
        <v>112</v>
      </c>
      <c r="C646" s="1">
        <v>45479</v>
      </c>
      <c r="D646" t="s">
        <v>11</v>
      </c>
    </row>
    <row r="647" spans="1:4" x14ac:dyDescent="0.3">
      <c r="A647">
        <v>646</v>
      </c>
      <c r="B647">
        <v>255</v>
      </c>
      <c r="C647" s="1">
        <v>45653</v>
      </c>
      <c r="D647" t="s">
        <v>12</v>
      </c>
    </row>
    <row r="648" spans="1:4" x14ac:dyDescent="0.3">
      <c r="A648">
        <v>647</v>
      </c>
      <c r="B648">
        <v>207</v>
      </c>
      <c r="C648" s="1">
        <v>45305</v>
      </c>
      <c r="D648" t="s">
        <v>11</v>
      </c>
    </row>
    <row r="649" spans="1:4" x14ac:dyDescent="0.3">
      <c r="A649">
        <v>648</v>
      </c>
      <c r="B649">
        <v>229</v>
      </c>
      <c r="C649" s="1">
        <v>45303</v>
      </c>
      <c r="D649" t="s">
        <v>13</v>
      </c>
    </row>
    <row r="650" spans="1:4" x14ac:dyDescent="0.3">
      <c r="A650">
        <v>649</v>
      </c>
      <c r="B650">
        <v>66</v>
      </c>
      <c r="C650" s="1">
        <v>45378</v>
      </c>
      <c r="D650" t="s">
        <v>11</v>
      </c>
    </row>
    <row r="651" spans="1:4" x14ac:dyDescent="0.3">
      <c r="A651">
        <v>650</v>
      </c>
      <c r="B651">
        <v>75</v>
      </c>
      <c r="C651" s="1">
        <v>45303</v>
      </c>
      <c r="D651" t="s">
        <v>11</v>
      </c>
    </row>
    <row r="652" spans="1:4" x14ac:dyDescent="0.3">
      <c r="A652">
        <v>651</v>
      </c>
      <c r="B652">
        <v>103</v>
      </c>
      <c r="C652" s="1">
        <v>45316</v>
      </c>
      <c r="D652" t="s">
        <v>12</v>
      </c>
    </row>
    <row r="653" spans="1:4" x14ac:dyDescent="0.3">
      <c r="A653">
        <v>652</v>
      </c>
      <c r="B653">
        <v>192</v>
      </c>
      <c r="C653" s="1">
        <v>45592</v>
      </c>
      <c r="D653" t="s">
        <v>11</v>
      </c>
    </row>
    <row r="654" spans="1:4" x14ac:dyDescent="0.3">
      <c r="A654">
        <v>653</v>
      </c>
      <c r="B654">
        <v>252</v>
      </c>
      <c r="C654" s="1">
        <v>45534</v>
      </c>
      <c r="D654" t="s">
        <v>12</v>
      </c>
    </row>
    <row r="655" spans="1:4" x14ac:dyDescent="0.3">
      <c r="A655">
        <v>654</v>
      </c>
      <c r="B655">
        <v>226</v>
      </c>
      <c r="C655" s="1">
        <v>45413</v>
      </c>
      <c r="D655" t="s">
        <v>11</v>
      </c>
    </row>
    <row r="656" spans="1:4" x14ac:dyDescent="0.3">
      <c r="A656">
        <v>655</v>
      </c>
      <c r="B656">
        <v>294</v>
      </c>
      <c r="C656" s="1">
        <v>45438</v>
      </c>
      <c r="D656" t="s">
        <v>11</v>
      </c>
    </row>
    <row r="657" spans="1:4" x14ac:dyDescent="0.3">
      <c r="A657">
        <v>656</v>
      </c>
      <c r="B657">
        <v>98</v>
      </c>
      <c r="C657" s="1">
        <v>45346</v>
      </c>
      <c r="D657" t="s">
        <v>11</v>
      </c>
    </row>
    <row r="658" spans="1:4" x14ac:dyDescent="0.3">
      <c r="A658">
        <v>657</v>
      </c>
      <c r="B658">
        <v>286</v>
      </c>
      <c r="C658" s="1">
        <v>45529</v>
      </c>
      <c r="D658" t="s">
        <v>11</v>
      </c>
    </row>
    <row r="659" spans="1:4" x14ac:dyDescent="0.3">
      <c r="A659">
        <v>658</v>
      </c>
      <c r="B659">
        <v>249</v>
      </c>
      <c r="C659" s="1">
        <v>45647</v>
      </c>
      <c r="D659" t="s">
        <v>11</v>
      </c>
    </row>
    <row r="660" spans="1:4" x14ac:dyDescent="0.3">
      <c r="A660">
        <v>659</v>
      </c>
      <c r="B660">
        <v>166</v>
      </c>
      <c r="C660" s="1">
        <v>45464</v>
      </c>
      <c r="D660" t="s">
        <v>11</v>
      </c>
    </row>
    <row r="661" spans="1:4" x14ac:dyDescent="0.3">
      <c r="A661">
        <v>660</v>
      </c>
      <c r="B661">
        <v>30</v>
      </c>
      <c r="C661" s="1">
        <v>45512</v>
      </c>
      <c r="D661" t="s">
        <v>11</v>
      </c>
    </row>
    <row r="662" spans="1:4" x14ac:dyDescent="0.3">
      <c r="A662">
        <v>661</v>
      </c>
      <c r="B662">
        <v>247</v>
      </c>
      <c r="C662" s="1">
        <v>45410</v>
      </c>
      <c r="D662" t="s">
        <v>11</v>
      </c>
    </row>
    <row r="663" spans="1:4" x14ac:dyDescent="0.3">
      <c r="A663">
        <v>662</v>
      </c>
      <c r="B663">
        <v>106</v>
      </c>
      <c r="C663" s="1">
        <v>45600</v>
      </c>
      <c r="D663" t="s">
        <v>11</v>
      </c>
    </row>
    <row r="664" spans="1:4" x14ac:dyDescent="0.3">
      <c r="A664">
        <v>663</v>
      </c>
      <c r="B664">
        <v>51</v>
      </c>
      <c r="C664" s="1">
        <v>45474</v>
      </c>
      <c r="D664" t="s">
        <v>11</v>
      </c>
    </row>
    <row r="665" spans="1:4" x14ac:dyDescent="0.3">
      <c r="A665">
        <v>664</v>
      </c>
      <c r="B665">
        <v>81</v>
      </c>
      <c r="C665" s="1">
        <v>45579</v>
      </c>
      <c r="D665" t="s">
        <v>11</v>
      </c>
    </row>
    <row r="666" spans="1:4" x14ac:dyDescent="0.3">
      <c r="A666">
        <v>665</v>
      </c>
      <c r="B666">
        <v>133</v>
      </c>
      <c r="C666" s="1">
        <v>45598</v>
      </c>
      <c r="D666" t="s">
        <v>11</v>
      </c>
    </row>
    <row r="667" spans="1:4" x14ac:dyDescent="0.3">
      <c r="A667">
        <v>666</v>
      </c>
      <c r="B667">
        <v>285</v>
      </c>
      <c r="C667" s="1">
        <v>45591</v>
      </c>
      <c r="D667" t="s">
        <v>11</v>
      </c>
    </row>
    <row r="668" spans="1:4" x14ac:dyDescent="0.3">
      <c r="A668">
        <v>667</v>
      </c>
      <c r="B668">
        <v>138</v>
      </c>
      <c r="C668" s="1">
        <v>45373</v>
      </c>
      <c r="D668" t="s">
        <v>13</v>
      </c>
    </row>
    <row r="669" spans="1:4" x14ac:dyDescent="0.3">
      <c r="A669">
        <v>668</v>
      </c>
      <c r="B669">
        <v>184</v>
      </c>
      <c r="C669" s="1">
        <v>45502</v>
      </c>
      <c r="D669" t="s">
        <v>12</v>
      </c>
    </row>
    <row r="670" spans="1:4" x14ac:dyDescent="0.3">
      <c r="A670">
        <v>669</v>
      </c>
      <c r="B670">
        <v>273</v>
      </c>
      <c r="C670" s="1">
        <v>45441</v>
      </c>
      <c r="D670" t="s">
        <v>11</v>
      </c>
    </row>
    <row r="671" spans="1:4" x14ac:dyDescent="0.3">
      <c r="A671">
        <v>670</v>
      </c>
      <c r="B671">
        <v>69</v>
      </c>
      <c r="C671" s="1">
        <v>45328</v>
      </c>
      <c r="D671" t="s">
        <v>11</v>
      </c>
    </row>
    <row r="672" spans="1:4" x14ac:dyDescent="0.3">
      <c r="A672">
        <v>671</v>
      </c>
      <c r="B672">
        <v>34</v>
      </c>
      <c r="C672" s="1">
        <v>45643</v>
      </c>
      <c r="D672" t="s">
        <v>12</v>
      </c>
    </row>
    <row r="673" spans="1:4" x14ac:dyDescent="0.3">
      <c r="A673">
        <v>672</v>
      </c>
      <c r="B673">
        <v>262</v>
      </c>
      <c r="C673" s="1">
        <v>45603</v>
      </c>
      <c r="D673" t="s">
        <v>11</v>
      </c>
    </row>
    <row r="674" spans="1:4" x14ac:dyDescent="0.3">
      <c r="A674">
        <v>673</v>
      </c>
      <c r="B674">
        <v>53</v>
      </c>
      <c r="C674" s="1">
        <v>45652</v>
      </c>
      <c r="D674" t="s">
        <v>11</v>
      </c>
    </row>
    <row r="675" spans="1:4" x14ac:dyDescent="0.3">
      <c r="A675">
        <v>674</v>
      </c>
      <c r="B675">
        <v>205</v>
      </c>
      <c r="C675" s="1">
        <v>45350</v>
      </c>
      <c r="D675" t="s">
        <v>11</v>
      </c>
    </row>
    <row r="676" spans="1:4" x14ac:dyDescent="0.3">
      <c r="A676">
        <v>675</v>
      </c>
      <c r="B676">
        <v>126</v>
      </c>
      <c r="C676" s="1">
        <v>45422</v>
      </c>
      <c r="D676" t="s">
        <v>11</v>
      </c>
    </row>
    <row r="677" spans="1:4" x14ac:dyDescent="0.3">
      <c r="A677">
        <v>676</v>
      </c>
      <c r="B677">
        <v>235</v>
      </c>
      <c r="C677" s="1">
        <v>45493</v>
      </c>
      <c r="D677" t="s">
        <v>11</v>
      </c>
    </row>
    <row r="678" spans="1:4" x14ac:dyDescent="0.3">
      <c r="A678">
        <v>677</v>
      </c>
      <c r="B678">
        <v>43</v>
      </c>
      <c r="C678" s="1">
        <v>45534</v>
      </c>
      <c r="D678" t="s">
        <v>11</v>
      </c>
    </row>
    <row r="679" spans="1:4" x14ac:dyDescent="0.3">
      <c r="A679">
        <v>678</v>
      </c>
      <c r="B679">
        <v>240</v>
      </c>
      <c r="C679" s="1">
        <v>45326</v>
      </c>
      <c r="D679" t="s">
        <v>13</v>
      </c>
    </row>
    <row r="680" spans="1:4" x14ac:dyDescent="0.3">
      <c r="A680">
        <v>679</v>
      </c>
      <c r="B680">
        <v>111</v>
      </c>
      <c r="C680" s="1">
        <v>45384</v>
      </c>
      <c r="D680" t="s">
        <v>12</v>
      </c>
    </row>
    <row r="681" spans="1:4" x14ac:dyDescent="0.3">
      <c r="A681">
        <v>680</v>
      </c>
      <c r="B681">
        <v>249</v>
      </c>
      <c r="C681" s="1">
        <v>45498</v>
      </c>
      <c r="D681" t="s">
        <v>11</v>
      </c>
    </row>
    <row r="682" spans="1:4" x14ac:dyDescent="0.3">
      <c r="A682">
        <v>681</v>
      </c>
      <c r="B682">
        <v>151</v>
      </c>
      <c r="C682" s="1">
        <v>45644</v>
      </c>
      <c r="D682" t="s">
        <v>11</v>
      </c>
    </row>
    <row r="683" spans="1:4" x14ac:dyDescent="0.3">
      <c r="A683">
        <v>682</v>
      </c>
      <c r="B683">
        <v>183</v>
      </c>
      <c r="C683" s="1">
        <v>45623</v>
      </c>
      <c r="D683" t="s">
        <v>12</v>
      </c>
    </row>
    <row r="684" spans="1:4" x14ac:dyDescent="0.3">
      <c r="A684">
        <v>683</v>
      </c>
      <c r="B684">
        <v>95</v>
      </c>
      <c r="C684" s="1">
        <v>45596</v>
      </c>
      <c r="D684" t="s">
        <v>11</v>
      </c>
    </row>
    <row r="685" spans="1:4" x14ac:dyDescent="0.3">
      <c r="A685">
        <v>684</v>
      </c>
      <c r="B685">
        <v>8</v>
      </c>
      <c r="C685" s="1">
        <v>45641</v>
      </c>
      <c r="D685" t="s">
        <v>11</v>
      </c>
    </row>
    <row r="686" spans="1:4" x14ac:dyDescent="0.3">
      <c r="A686">
        <v>685</v>
      </c>
      <c r="B686">
        <v>184</v>
      </c>
      <c r="C686" s="1">
        <v>45504</v>
      </c>
      <c r="D686" t="s">
        <v>11</v>
      </c>
    </row>
    <row r="687" spans="1:4" x14ac:dyDescent="0.3">
      <c r="A687">
        <v>686</v>
      </c>
      <c r="B687">
        <v>281</v>
      </c>
      <c r="C687" s="1">
        <v>45450</v>
      </c>
      <c r="D687" t="s">
        <v>13</v>
      </c>
    </row>
    <row r="688" spans="1:4" x14ac:dyDescent="0.3">
      <c r="A688">
        <v>687</v>
      </c>
      <c r="B688">
        <v>195</v>
      </c>
      <c r="C688" s="1">
        <v>45315</v>
      </c>
      <c r="D688" t="s">
        <v>11</v>
      </c>
    </row>
    <row r="689" spans="1:4" x14ac:dyDescent="0.3">
      <c r="A689">
        <v>688</v>
      </c>
      <c r="B689">
        <v>195</v>
      </c>
      <c r="C689" s="1">
        <v>45584</v>
      </c>
      <c r="D689" t="s">
        <v>12</v>
      </c>
    </row>
    <row r="690" spans="1:4" x14ac:dyDescent="0.3">
      <c r="A690">
        <v>689</v>
      </c>
      <c r="B690">
        <v>155</v>
      </c>
      <c r="C690" s="1">
        <v>45295</v>
      </c>
      <c r="D690" t="s">
        <v>12</v>
      </c>
    </row>
    <row r="691" spans="1:4" x14ac:dyDescent="0.3">
      <c r="A691">
        <v>690</v>
      </c>
      <c r="B691">
        <v>93</v>
      </c>
      <c r="C691" s="1">
        <v>45511</v>
      </c>
      <c r="D691" t="s">
        <v>11</v>
      </c>
    </row>
    <row r="692" spans="1:4" x14ac:dyDescent="0.3">
      <c r="A692">
        <v>691</v>
      </c>
      <c r="B692">
        <v>160</v>
      </c>
      <c r="C692" s="1">
        <v>45655</v>
      </c>
      <c r="D692" t="s">
        <v>11</v>
      </c>
    </row>
    <row r="693" spans="1:4" x14ac:dyDescent="0.3">
      <c r="A693">
        <v>692</v>
      </c>
      <c r="B693">
        <v>61</v>
      </c>
      <c r="C693" s="1">
        <v>45311</v>
      </c>
      <c r="D693" t="s">
        <v>11</v>
      </c>
    </row>
    <row r="694" spans="1:4" x14ac:dyDescent="0.3">
      <c r="A694">
        <v>693</v>
      </c>
      <c r="B694">
        <v>122</v>
      </c>
      <c r="C694" s="1">
        <v>45443</v>
      </c>
      <c r="D694" t="s">
        <v>11</v>
      </c>
    </row>
    <row r="695" spans="1:4" x14ac:dyDescent="0.3">
      <c r="A695">
        <v>694</v>
      </c>
      <c r="B695">
        <v>51</v>
      </c>
      <c r="C695" s="1">
        <v>45341</v>
      </c>
      <c r="D695" t="s">
        <v>11</v>
      </c>
    </row>
    <row r="696" spans="1:4" x14ac:dyDescent="0.3">
      <c r="A696">
        <v>695</v>
      </c>
      <c r="B696">
        <v>277</v>
      </c>
      <c r="C696" s="1">
        <v>45468</v>
      </c>
      <c r="D696" t="s">
        <v>11</v>
      </c>
    </row>
    <row r="697" spans="1:4" x14ac:dyDescent="0.3">
      <c r="A697">
        <v>696</v>
      </c>
      <c r="B697">
        <v>5</v>
      </c>
      <c r="C697" s="1">
        <v>45387</v>
      </c>
      <c r="D697" t="s">
        <v>11</v>
      </c>
    </row>
    <row r="698" spans="1:4" x14ac:dyDescent="0.3">
      <c r="A698">
        <v>697</v>
      </c>
      <c r="B698">
        <v>92</v>
      </c>
      <c r="C698" s="1">
        <v>45396</v>
      </c>
      <c r="D698" t="s">
        <v>12</v>
      </c>
    </row>
    <row r="699" spans="1:4" x14ac:dyDescent="0.3">
      <c r="A699">
        <v>698</v>
      </c>
      <c r="B699">
        <v>170</v>
      </c>
      <c r="C699" s="1">
        <v>45541</v>
      </c>
      <c r="D699" t="s">
        <v>11</v>
      </c>
    </row>
    <row r="700" spans="1:4" x14ac:dyDescent="0.3">
      <c r="A700">
        <v>699</v>
      </c>
      <c r="B700">
        <v>22</v>
      </c>
      <c r="C700" s="1">
        <v>45408</v>
      </c>
      <c r="D700" t="s">
        <v>11</v>
      </c>
    </row>
    <row r="701" spans="1:4" x14ac:dyDescent="0.3">
      <c r="A701">
        <v>700</v>
      </c>
      <c r="B701">
        <v>1</v>
      </c>
      <c r="C701" s="1">
        <v>45645</v>
      </c>
      <c r="D701" t="s">
        <v>11</v>
      </c>
    </row>
    <row r="702" spans="1:4" x14ac:dyDescent="0.3">
      <c r="A702">
        <v>701</v>
      </c>
      <c r="B702">
        <v>133</v>
      </c>
      <c r="C702" s="1">
        <v>45519</v>
      </c>
      <c r="D702" t="s">
        <v>11</v>
      </c>
    </row>
    <row r="703" spans="1:4" x14ac:dyDescent="0.3">
      <c r="A703">
        <v>702</v>
      </c>
      <c r="B703">
        <v>233</v>
      </c>
      <c r="C703" s="1">
        <v>45357</v>
      </c>
      <c r="D703" t="s">
        <v>11</v>
      </c>
    </row>
    <row r="704" spans="1:4" x14ac:dyDescent="0.3">
      <c r="A704">
        <v>703</v>
      </c>
      <c r="B704">
        <v>12</v>
      </c>
      <c r="C704" s="1">
        <v>45626</v>
      </c>
      <c r="D704" t="s">
        <v>11</v>
      </c>
    </row>
    <row r="705" spans="1:4" x14ac:dyDescent="0.3">
      <c r="A705">
        <v>704</v>
      </c>
      <c r="B705">
        <v>46</v>
      </c>
      <c r="C705" s="1">
        <v>45553</v>
      </c>
      <c r="D705" t="s">
        <v>11</v>
      </c>
    </row>
    <row r="706" spans="1:4" x14ac:dyDescent="0.3">
      <c r="A706">
        <v>705</v>
      </c>
      <c r="B706">
        <v>34</v>
      </c>
      <c r="C706" s="1">
        <v>45586</v>
      </c>
      <c r="D706" t="s">
        <v>11</v>
      </c>
    </row>
    <row r="707" spans="1:4" x14ac:dyDescent="0.3">
      <c r="A707">
        <v>706</v>
      </c>
      <c r="B707">
        <v>78</v>
      </c>
      <c r="C707" s="1">
        <v>45534</v>
      </c>
      <c r="D707" t="s">
        <v>11</v>
      </c>
    </row>
    <row r="708" spans="1:4" x14ac:dyDescent="0.3">
      <c r="A708">
        <v>707</v>
      </c>
      <c r="B708">
        <v>218</v>
      </c>
      <c r="C708" s="1">
        <v>45477</v>
      </c>
      <c r="D708" t="s">
        <v>11</v>
      </c>
    </row>
    <row r="709" spans="1:4" x14ac:dyDescent="0.3">
      <c r="A709">
        <v>708</v>
      </c>
      <c r="B709">
        <v>73</v>
      </c>
      <c r="C709" s="1">
        <v>45537</v>
      </c>
      <c r="D709" t="s">
        <v>11</v>
      </c>
    </row>
    <row r="710" spans="1:4" x14ac:dyDescent="0.3">
      <c r="A710">
        <v>709</v>
      </c>
      <c r="B710">
        <v>282</v>
      </c>
      <c r="C710" s="1">
        <v>45416</v>
      </c>
      <c r="D710" t="s">
        <v>13</v>
      </c>
    </row>
    <row r="711" spans="1:4" x14ac:dyDescent="0.3">
      <c r="A711">
        <v>710</v>
      </c>
      <c r="B711">
        <v>249</v>
      </c>
      <c r="C711" s="1">
        <v>45559</v>
      </c>
      <c r="D711" t="s">
        <v>11</v>
      </c>
    </row>
    <row r="712" spans="1:4" x14ac:dyDescent="0.3">
      <c r="A712">
        <v>711</v>
      </c>
      <c r="B712">
        <v>47</v>
      </c>
      <c r="C712" s="1">
        <v>45422</v>
      </c>
      <c r="D712" t="s">
        <v>11</v>
      </c>
    </row>
    <row r="713" spans="1:4" x14ac:dyDescent="0.3">
      <c r="A713">
        <v>712</v>
      </c>
      <c r="B713">
        <v>121</v>
      </c>
      <c r="C713" s="1">
        <v>45528</v>
      </c>
      <c r="D713" t="s">
        <v>11</v>
      </c>
    </row>
    <row r="714" spans="1:4" x14ac:dyDescent="0.3">
      <c r="A714">
        <v>713</v>
      </c>
      <c r="B714">
        <v>214</v>
      </c>
      <c r="C714" s="1">
        <v>45309</v>
      </c>
      <c r="D714" t="s">
        <v>11</v>
      </c>
    </row>
    <row r="715" spans="1:4" x14ac:dyDescent="0.3">
      <c r="A715">
        <v>714</v>
      </c>
      <c r="B715">
        <v>239</v>
      </c>
      <c r="C715" s="1">
        <v>45331</v>
      </c>
      <c r="D715" t="s">
        <v>11</v>
      </c>
    </row>
    <row r="716" spans="1:4" x14ac:dyDescent="0.3">
      <c r="A716">
        <v>715</v>
      </c>
      <c r="B716">
        <v>56</v>
      </c>
      <c r="C716" s="1">
        <v>45312</v>
      </c>
      <c r="D716" t="s">
        <v>11</v>
      </c>
    </row>
    <row r="717" spans="1:4" x14ac:dyDescent="0.3">
      <c r="A717">
        <v>716</v>
      </c>
      <c r="B717">
        <v>107</v>
      </c>
      <c r="C717" s="1">
        <v>45516</v>
      </c>
      <c r="D717" t="s">
        <v>11</v>
      </c>
    </row>
    <row r="718" spans="1:4" x14ac:dyDescent="0.3">
      <c r="A718">
        <v>717</v>
      </c>
      <c r="B718">
        <v>48</v>
      </c>
      <c r="C718" s="1">
        <v>45646</v>
      </c>
      <c r="D718" t="s">
        <v>11</v>
      </c>
    </row>
    <row r="719" spans="1:4" x14ac:dyDescent="0.3">
      <c r="A719">
        <v>718</v>
      </c>
      <c r="B719">
        <v>61</v>
      </c>
      <c r="C719" s="1">
        <v>45573</v>
      </c>
      <c r="D719" t="s">
        <v>11</v>
      </c>
    </row>
    <row r="720" spans="1:4" x14ac:dyDescent="0.3">
      <c r="A720">
        <v>719</v>
      </c>
      <c r="B720">
        <v>26</v>
      </c>
      <c r="C720" s="1">
        <v>45299</v>
      </c>
      <c r="D720" t="s">
        <v>11</v>
      </c>
    </row>
    <row r="721" spans="1:4" x14ac:dyDescent="0.3">
      <c r="A721">
        <v>720</v>
      </c>
      <c r="B721">
        <v>292</v>
      </c>
      <c r="C721" s="1">
        <v>45391</v>
      </c>
      <c r="D721" t="s">
        <v>11</v>
      </c>
    </row>
    <row r="722" spans="1:4" x14ac:dyDescent="0.3">
      <c r="A722">
        <v>721</v>
      </c>
      <c r="B722">
        <v>257</v>
      </c>
      <c r="C722" s="1">
        <v>45531</v>
      </c>
      <c r="D722" t="s">
        <v>13</v>
      </c>
    </row>
    <row r="723" spans="1:4" x14ac:dyDescent="0.3">
      <c r="A723">
        <v>722</v>
      </c>
      <c r="B723">
        <v>8</v>
      </c>
      <c r="C723" s="1">
        <v>45378</v>
      </c>
      <c r="D723" t="s">
        <v>11</v>
      </c>
    </row>
    <row r="724" spans="1:4" x14ac:dyDescent="0.3">
      <c r="A724">
        <v>723</v>
      </c>
      <c r="B724">
        <v>113</v>
      </c>
      <c r="C724" s="1">
        <v>45589</v>
      </c>
      <c r="D724" t="s">
        <v>11</v>
      </c>
    </row>
    <row r="725" spans="1:4" x14ac:dyDescent="0.3">
      <c r="A725">
        <v>724</v>
      </c>
      <c r="B725">
        <v>253</v>
      </c>
      <c r="C725" s="1">
        <v>45305</v>
      </c>
      <c r="D725" t="s">
        <v>11</v>
      </c>
    </row>
    <row r="726" spans="1:4" x14ac:dyDescent="0.3">
      <c r="A726">
        <v>725</v>
      </c>
      <c r="B726">
        <v>180</v>
      </c>
      <c r="C726" s="1">
        <v>45625</v>
      </c>
      <c r="D726" t="s">
        <v>11</v>
      </c>
    </row>
    <row r="727" spans="1:4" x14ac:dyDescent="0.3">
      <c r="A727">
        <v>726</v>
      </c>
      <c r="B727">
        <v>207</v>
      </c>
      <c r="C727" s="1">
        <v>45293</v>
      </c>
      <c r="D727" t="s">
        <v>11</v>
      </c>
    </row>
    <row r="728" spans="1:4" x14ac:dyDescent="0.3">
      <c r="A728">
        <v>727</v>
      </c>
      <c r="B728">
        <v>127</v>
      </c>
      <c r="C728" s="1">
        <v>45584</v>
      </c>
      <c r="D728" t="s">
        <v>11</v>
      </c>
    </row>
    <row r="729" spans="1:4" x14ac:dyDescent="0.3">
      <c r="A729">
        <v>728</v>
      </c>
      <c r="B729">
        <v>56</v>
      </c>
      <c r="C729" s="1">
        <v>45616</v>
      </c>
      <c r="D729" t="s">
        <v>11</v>
      </c>
    </row>
    <row r="730" spans="1:4" x14ac:dyDescent="0.3">
      <c r="A730">
        <v>729</v>
      </c>
      <c r="B730">
        <v>214</v>
      </c>
      <c r="C730" s="1">
        <v>45332</v>
      </c>
      <c r="D730" t="s">
        <v>11</v>
      </c>
    </row>
    <row r="731" spans="1:4" x14ac:dyDescent="0.3">
      <c r="A731">
        <v>730</v>
      </c>
      <c r="B731">
        <v>14</v>
      </c>
      <c r="C731" s="1">
        <v>45609</v>
      </c>
      <c r="D731" t="s">
        <v>11</v>
      </c>
    </row>
    <row r="732" spans="1:4" x14ac:dyDescent="0.3">
      <c r="A732">
        <v>731</v>
      </c>
      <c r="B732">
        <v>28</v>
      </c>
      <c r="C732" s="1">
        <v>45607</v>
      </c>
      <c r="D732" t="s">
        <v>11</v>
      </c>
    </row>
    <row r="733" spans="1:4" x14ac:dyDescent="0.3">
      <c r="A733">
        <v>732</v>
      </c>
      <c r="B733">
        <v>78</v>
      </c>
      <c r="C733" s="1">
        <v>45402</v>
      </c>
      <c r="D733" t="s">
        <v>11</v>
      </c>
    </row>
    <row r="734" spans="1:4" x14ac:dyDescent="0.3">
      <c r="A734">
        <v>733</v>
      </c>
      <c r="B734">
        <v>216</v>
      </c>
      <c r="C734" s="1">
        <v>45305</v>
      </c>
      <c r="D734" t="s">
        <v>11</v>
      </c>
    </row>
    <row r="735" spans="1:4" x14ac:dyDescent="0.3">
      <c r="A735">
        <v>734</v>
      </c>
      <c r="B735">
        <v>154</v>
      </c>
      <c r="C735" s="1">
        <v>45522</v>
      </c>
      <c r="D735" t="s">
        <v>11</v>
      </c>
    </row>
    <row r="736" spans="1:4" x14ac:dyDescent="0.3">
      <c r="A736">
        <v>735</v>
      </c>
      <c r="B736">
        <v>14</v>
      </c>
      <c r="C736" s="1">
        <v>45375</v>
      </c>
      <c r="D736" t="s">
        <v>12</v>
      </c>
    </row>
    <row r="737" spans="1:4" x14ac:dyDescent="0.3">
      <c r="A737">
        <v>736</v>
      </c>
      <c r="B737">
        <v>187</v>
      </c>
      <c r="C737" s="1">
        <v>45421</v>
      </c>
      <c r="D737" t="s">
        <v>11</v>
      </c>
    </row>
    <row r="738" spans="1:4" x14ac:dyDescent="0.3">
      <c r="A738">
        <v>737</v>
      </c>
      <c r="B738">
        <v>7</v>
      </c>
      <c r="C738" s="1">
        <v>45522</v>
      </c>
      <c r="D738" t="s">
        <v>11</v>
      </c>
    </row>
    <row r="739" spans="1:4" x14ac:dyDescent="0.3">
      <c r="A739">
        <v>738</v>
      </c>
      <c r="B739">
        <v>3</v>
      </c>
      <c r="C739" s="1">
        <v>45617</v>
      </c>
      <c r="D739" t="s">
        <v>11</v>
      </c>
    </row>
    <row r="740" spans="1:4" x14ac:dyDescent="0.3">
      <c r="A740">
        <v>739</v>
      </c>
      <c r="B740">
        <v>111</v>
      </c>
      <c r="C740" s="1">
        <v>45436</v>
      </c>
      <c r="D740" t="s">
        <v>13</v>
      </c>
    </row>
    <row r="741" spans="1:4" x14ac:dyDescent="0.3">
      <c r="A741">
        <v>740</v>
      </c>
      <c r="B741">
        <v>238</v>
      </c>
      <c r="C741" s="1">
        <v>45636</v>
      </c>
      <c r="D741" t="s">
        <v>11</v>
      </c>
    </row>
    <row r="742" spans="1:4" x14ac:dyDescent="0.3">
      <c r="A742">
        <v>741</v>
      </c>
      <c r="B742">
        <v>239</v>
      </c>
      <c r="C742" s="1">
        <v>45319</v>
      </c>
      <c r="D742" t="s">
        <v>11</v>
      </c>
    </row>
    <row r="743" spans="1:4" x14ac:dyDescent="0.3">
      <c r="A743">
        <v>742</v>
      </c>
      <c r="B743">
        <v>274</v>
      </c>
      <c r="C743" s="1">
        <v>45357</v>
      </c>
      <c r="D743" t="s">
        <v>11</v>
      </c>
    </row>
    <row r="744" spans="1:4" x14ac:dyDescent="0.3">
      <c r="A744">
        <v>743</v>
      </c>
      <c r="B744">
        <v>294</v>
      </c>
      <c r="C744" s="1">
        <v>45454</v>
      </c>
      <c r="D744" t="s">
        <v>11</v>
      </c>
    </row>
    <row r="745" spans="1:4" x14ac:dyDescent="0.3">
      <c r="A745">
        <v>744</v>
      </c>
      <c r="B745">
        <v>227</v>
      </c>
      <c r="C745" s="1">
        <v>45520</v>
      </c>
      <c r="D745" t="s">
        <v>11</v>
      </c>
    </row>
    <row r="746" spans="1:4" x14ac:dyDescent="0.3">
      <c r="A746">
        <v>745</v>
      </c>
      <c r="B746">
        <v>15</v>
      </c>
      <c r="C746" s="1">
        <v>45552</v>
      </c>
      <c r="D746" t="s">
        <v>11</v>
      </c>
    </row>
    <row r="747" spans="1:4" x14ac:dyDescent="0.3">
      <c r="A747">
        <v>746</v>
      </c>
      <c r="B747">
        <v>192</v>
      </c>
      <c r="C747" s="1">
        <v>45455</v>
      </c>
      <c r="D747" t="s">
        <v>12</v>
      </c>
    </row>
    <row r="748" spans="1:4" x14ac:dyDescent="0.3">
      <c r="A748">
        <v>747</v>
      </c>
      <c r="B748">
        <v>119</v>
      </c>
      <c r="C748" s="1">
        <v>45592</v>
      </c>
      <c r="D748" t="s">
        <v>11</v>
      </c>
    </row>
    <row r="749" spans="1:4" x14ac:dyDescent="0.3">
      <c r="A749">
        <v>748</v>
      </c>
      <c r="B749">
        <v>28</v>
      </c>
      <c r="C749" s="1">
        <v>45594</v>
      </c>
      <c r="D749" t="s">
        <v>11</v>
      </c>
    </row>
    <row r="750" spans="1:4" x14ac:dyDescent="0.3">
      <c r="A750">
        <v>749</v>
      </c>
      <c r="B750">
        <v>202</v>
      </c>
      <c r="C750" s="1">
        <v>45578</v>
      </c>
      <c r="D750" t="s">
        <v>13</v>
      </c>
    </row>
    <row r="751" spans="1:4" x14ac:dyDescent="0.3">
      <c r="A751">
        <v>750</v>
      </c>
      <c r="B751">
        <v>39</v>
      </c>
      <c r="C751" s="1">
        <v>45301</v>
      </c>
      <c r="D751" t="s">
        <v>11</v>
      </c>
    </row>
    <row r="752" spans="1:4" x14ac:dyDescent="0.3">
      <c r="A752">
        <v>751</v>
      </c>
      <c r="B752">
        <v>273</v>
      </c>
      <c r="C752" s="1">
        <v>45486</v>
      </c>
      <c r="D752" t="s">
        <v>11</v>
      </c>
    </row>
    <row r="753" spans="1:4" x14ac:dyDescent="0.3">
      <c r="A753">
        <v>752</v>
      </c>
      <c r="B753">
        <v>231</v>
      </c>
      <c r="C753" s="1">
        <v>45409</v>
      </c>
      <c r="D753" t="s">
        <v>11</v>
      </c>
    </row>
    <row r="754" spans="1:4" x14ac:dyDescent="0.3">
      <c r="A754">
        <v>753</v>
      </c>
      <c r="B754">
        <v>86</v>
      </c>
      <c r="C754" s="1">
        <v>45561</v>
      </c>
      <c r="D754" t="s">
        <v>11</v>
      </c>
    </row>
    <row r="755" spans="1:4" x14ac:dyDescent="0.3">
      <c r="A755">
        <v>754</v>
      </c>
      <c r="B755">
        <v>126</v>
      </c>
      <c r="C755" s="1">
        <v>45371</v>
      </c>
      <c r="D755" t="s">
        <v>11</v>
      </c>
    </row>
    <row r="756" spans="1:4" x14ac:dyDescent="0.3">
      <c r="A756">
        <v>755</v>
      </c>
      <c r="B756">
        <v>300</v>
      </c>
      <c r="C756" s="1">
        <v>45384</v>
      </c>
      <c r="D756" t="s">
        <v>13</v>
      </c>
    </row>
    <row r="757" spans="1:4" x14ac:dyDescent="0.3">
      <c r="A757">
        <v>756</v>
      </c>
      <c r="B757">
        <v>25</v>
      </c>
      <c r="C757" s="1">
        <v>45557</v>
      </c>
      <c r="D757" t="s">
        <v>11</v>
      </c>
    </row>
    <row r="758" spans="1:4" x14ac:dyDescent="0.3">
      <c r="A758">
        <v>757</v>
      </c>
      <c r="B758">
        <v>145</v>
      </c>
      <c r="C758" s="1">
        <v>45623</v>
      </c>
      <c r="D758" t="s">
        <v>11</v>
      </c>
    </row>
    <row r="759" spans="1:4" x14ac:dyDescent="0.3">
      <c r="A759">
        <v>758</v>
      </c>
      <c r="B759">
        <v>13</v>
      </c>
      <c r="C759" s="1">
        <v>45641</v>
      </c>
      <c r="D759" t="s">
        <v>11</v>
      </c>
    </row>
    <row r="760" spans="1:4" x14ac:dyDescent="0.3">
      <c r="A760">
        <v>759</v>
      </c>
      <c r="B760">
        <v>212</v>
      </c>
      <c r="C760" s="1">
        <v>45652</v>
      </c>
      <c r="D760" t="s">
        <v>12</v>
      </c>
    </row>
    <row r="761" spans="1:4" x14ac:dyDescent="0.3">
      <c r="A761">
        <v>760</v>
      </c>
      <c r="B761">
        <v>25</v>
      </c>
      <c r="C761" s="1">
        <v>45548</v>
      </c>
      <c r="D761" t="s">
        <v>13</v>
      </c>
    </row>
    <row r="762" spans="1:4" x14ac:dyDescent="0.3">
      <c r="A762">
        <v>761</v>
      </c>
      <c r="B762">
        <v>68</v>
      </c>
      <c r="C762" s="1">
        <v>45424</v>
      </c>
      <c r="D762" t="s">
        <v>12</v>
      </c>
    </row>
    <row r="763" spans="1:4" x14ac:dyDescent="0.3">
      <c r="A763">
        <v>762</v>
      </c>
      <c r="B763">
        <v>67</v>
      </c>
      <c r="C763" s="1">
        <v>45567</v>
      </c>
      <c r="D763" t="s">
        <v>11</v>
      </c>
    </row>
    <row r="764" spans="1:4" x14ac:dyDescent="0.3">
      <c r="A764">
        <v>763</v>
      </c>
      <c r="B764">
        <v>233</v>
      </c>
      <c r="C764" s="1">
        <v>45555</v>
      </c>
      <c r="D764" t="s">
        <v>11</v>
      </c>
    </row>
    <row r="765" spans="1:4" x14ac:dyDescent="0.3">
      <c r="A765">
        <v>764</v>
      </c>
      <c r="B765">
        <v>109</v>
      </c>
      <c r="C765" s="1">
        <v>45462</v>
      </c>
      <c r="D765" t="s">
        <v>11</v>
      </c>
    </row>
    <row r="766" spans="1:4" x14ac:dyDescent="0.3">
      <c r="A766">
        <v>765</v>
      </c>
      <c r="B766">
        <v>146</v>
      </c>
      <c r="C766" s="1">
        <v>45292</v>
      </c>
      <c r="D766" t="s">
        <v>11</v>
      </c>
    </row>
    <row r="767" spans="1:4" x14ac:dyDescent="0.3">
      <c r="A767">
        <v>766</v>
      </c>
      <c r="B767">
        <v>111</v>
      </c>
      <c r="C767" s="1">
        <v>45604</v>
      </c>
      <c r="D767" t="s">
        <v>11</v>
      </c>
    </row>
    <row r="768" spans="1:4" x14ac:dyDescent="0.3">
      <c r="A768">
        <v>767</v>
      </c>
      <c r="B768">
        <v>228</v>
      </c>
      <c r="C768" s="1">
        <v>45355</v>
      </c>
      <c r="D768" t="s">
        <v>11</v>
      </c>
    </row>
    <row r="769" spans="1:4" x14ac:dyDescent="0.3">
      <c r="A769">
        <v>768</v>
      </c>
      <c r="B769">
        <v>111</v>
      </c>
      <c r="C769" s="1">
        <v>45575</v>
      </c>
      <c r="D769" t="s">
        <v>11</v>
      </c>
    </row>
    <row r="770" spans="1:4" x14ac:dyDescent="0.3">
      <c r="A770">
        <v>769</v>
      </c>
      <c r="B770">
        <v>34</v>
      </c>
      <c r="C770" s="1">
        <v>45412</v>
      </c>
      <c r="D770" t="s">
        <v>11</v>
      </c>
    </row>
    <row r="771" spans="1:4" x14ac:dyDescent="0.3">
      <c r="A771">
        <v>770</v>
      </c>
      <c r="B771">
        <v>111</v>
      </c>
      <c r="C771" s="1">
        <v>45398</v>
      </c>
      <c r="D771" t="s">
        <v>11</v>
      </c>
    </row>
    <row r="772" spans="1:4" x14ac:dyDescent="0.3">
      <c r="A772">
        <v>771</v>
      </c>
      <c r="B772">
        <v>264</v>
      </c>
      <c r="C772" s="1">
        <v>45466</v>
      </c>
      <c r="D772" t="s">
        <v>11</v>
      </c>
    </row>
    <row r="773" spans="1:4" x14ac:dyDescent="0.3">
      <c r="A773">
        <v>772</v>
      </c>
      <c r="B773">
        <v>236</v>
      </c>
      <c r="C773" s="1">
        <v>45495</v>
      </c>
      <c r="D773" t="s">
        <v>11</v>
      </c>
    </row>
    <row r="774" spans="1:4" x14ac:dyDescent="0.3">
      <c r="A774">
        <v>773</v>
      </c>
      <c r="B774">
        <v>83</v>
      </c>
      <c r="C774" s="1">
        <v>45456</v>
      </c>
      <c r="D774" t="s">
        <v>11</v>
      </c>
    </row>
    <row r="775" spans="1:4" x14ac:dyDescent="0.3">
      <c r="A775">
        <v>774</v>
      </c>
      <c r="B775">
        <v>42</v>
      </c>
      <c r="C775" s="1">
        <v>45596</v>
      </c>
      <c r="D775" t="s">
        <v>11</v>
      </c>
    </row>
    <row r="776" spans="1:4" x14ac:dyDescent="0.3">
      <c r="A776">
        <v>775</v>
      </c>
      <c r="B776">
        <v>101</v>
      </c>
      <c r="C776" s="1">
        <v>45411</v>
      </c>
      <c r="D776" t="s">
        <v>11</v>
      </c>
    </row>
    <row r="777" spans="1:4" x14ac:dyDescent="0.3">
      <c r="A777">
        <v>776</v>
      </c>
      <c r="B777">
        <v>6</v>
      </c>
      <c r="C777" s="1">
        <v>45335</v>
      </c>
      <c r="D777" t="s">
        <v>11</v>
      </c>
    </row>
    <row r="778" spans="1:4" x14ac:dyDescent="0.3">
      <c r="A778">
        <v>777</v>
      </c>
      <c r="B778">
        <v>180</v>
      </c>
      <c r="C778" s="1">
        <v>45603</v>
      </c>
      <c r="D778" t="s">
        <v>11</v>
      </c>
    </row>
    <row r="779" spans="1:4" x14ac:dyDescent="0.3">
      <c r="A779">
        <v>778</v>
      </c>
      <c r="B779">
        <v>282</v>
      </c>
      <c r="C779" s="1">
        <v>45447</v>
      </c>
      <c r="D779" t="s">
        <v>11</v>
      </c>
    </row>
    <row r="780" spans="1:4" x14ac:dyDescent="0.3">
      <c r="A780">
        <v>779</v>
      </c>
      <c r="B780">
        <v>226</v>
      </c>
      <c r="C780" s="1">
        <v>45498</v>
      </c>
      <c r="D780" t="s">
        <v>13</v>
      </c>
    </row>
    <row r="781" spans="1:4" x14ac:dyDescent="0.3">
      <c r="A781">
        <v>780</v>
      </c>
      <c r="B781">
        <v>229</v>
      </c>
      <c r="C781" s="1">
        <v>45399</v>
      </c>
      <c r="D781" t="s">
        <v>11</v>
      </c>
    </row>
    <row r="782" spans="1:4" x14ac:dyDescent="0.3">
      <c r="A782">
        <v>781</v>
      </c>
      <c r="B782">
        <v>289</v>
      </c>
      <c r="C782" s="1">
        <v>45542</v>
      </c>
      <c r="D782" t="s">
        <v>11</v>
      </c>
    </row>
    <row r="783" spans="1:4" x14ac:dyDescent="0.3">
      <c r="A783">
        <v>782</v>
      </c>
      <c r="B783">
        <v>150</v>
      </c>
      <c r="C783" s="1">
        <v>45625</v>
      </c>
      <c r="D783" t="s">
        <v>11</v>
      </c>
    </row>
    <row r="784" spans="1:4" x14ac:dyDescent="0.3">
      <c r="A784">
        <v>783</v>
      </c>
      <c r="B784">
        <v>277</v>
      </c>
      <c r="C784" s="1">
        <v>45421</v>
      </c>
      <c r="D784" t="s">
        <v>11</v>
      </c>
    </row>
    <row r="785" spans="1:4" x14ac:dyDescent="0.3">
      <c r="A785">
        <v>784</v>
      </c>
      <c r="B785">
        <v>198</v>
      </c>
      <c r="C785" s="1">
        <v>45584</v>
      </c>
      <c r="D785" t="s">
        <v>11</v>
      </c>
    </row>
    <row r="786" spans="1:4" x14ac:dyDescent="0.3">
      <c r="A786">
        <v>785</v>
      </c>
      <c r="B786">
        <v>70</v>
      </c>
      <c r="C786" s="1">
        <v>45311</v>
      </c>
      <c r="D786" t="s">
        <v>11</v>
      </c>
    </row>
    <row r="787" spans="1:4" x14ac:dyDescent="0.3">
      <c r="A787">
        <v>786</v>
      </c>
      <c r="B787">
        <v>112</v>
      </c>
      <c r="C787" s="1">
        <v>45573</v>
      </c>
      <c r="D787" t="s">
        <v>13</v>
      </c>
    </row>
    <row r="788" spans="1:4" x14ac:dyDescent="0.3">
      <c r="A788">
        <v>787</v>
      </c>
      <c r="B788">
        <v>4</v>
      </c>
      <c r="C788" s="1">
        <v>45576</v>
      </c>
      <c r="D788" t="s">
        <v>11</v>
      </c>
    </row>
    <row r="789" spans="1:4" x14ac:dyDescent="0.3">
      <c r="A789">
        <v>788</v>
      </c>
      <c r="B789">
        <v>95</v>
      </c>
      <c r="C789" s="1">
        <v>45292</v>
      </c>
      <c r="D789" t="s">
        <v>12</v>
      </c>
    </row>
    <row r="790" spans="1:4" x14ac:dyDescent="0.3">
      <c r="A790">
        <v>789</v>
      </c>
      <c r="B790">
        <v>152</v>
      </c>
      <c r="C790" s="1">
        <v>45410</v>
      </c>
      <c r="D790" t="s">
        <v>11</v>
      </c>
    </row>
    <row r="791" spans="1:4" x14ac:dyDescent="0.3">
      <c r="A791">
        <v>790</v>
      </c>
      <c r="B791">
        <v>137</v>
      </c>
      <c r="C791" s="1">
        <v>45326</v>
      </c>
      <c r="D791" t="s">
        <v>11</v>
      </c>
    </row>
    <row r="792" spans="1:4" x14ac:dyDescent="0.3">
      <c r="A792">
        <v>791</v>
      </c>
      <c r="B792">
        <v>247</v>
      </c>
      <c r="C792" s="1">
        <v>45489</v>
      </c>
      <c r="D792" t="s">
        <v>13</v>
      </c>
    </row>
    <row r="793" spans="1:4" x14ac:dyDescent="0.3">
      <c r="A793">
        <v>792</v>
      </c>
      <c r="B793">
        <v>243</v>
      </c>
      <c r="C793" s="1">
        <v>45536</v>
      </c>
      <c r="D793" t="s">
        <v>11</v>
      </c>
    </row>
    <row r="794" spans="1:4" x14ac:dyDescent="0.3">
      <c r="A794">
        <v>793</v>
      </c>
      <c r="B794">
        <v>31</v>
      </c>
      <c r="C794" s="1">
        <v>45350</v>
      </c>
      <c r="D794" t="s">
        <v>11</v>
      </c>
    </row>
    <row r="795" spans="1:4" x14ac:dyDescent="0.3">
      <c r="A795">
        <v>794</v>
      </c>
      <c r="B795">
        <v>40</v>
      </c>
      <c r="C795" s="1">
        <v>45616</v>
      </c>
      <c r="D795" t="s">
        <v>11</v>
      </c>
    </row>
    <row r="796" spans="1:4" x14ac:dyDescent="0.3">
      <c r="A796">
        <v>795</v>
      </c>
      <c r="B796">
        <v>229</v>
      </c>
      <c r="C796" s="1">
        <v>45452</v>
      </c>
      <c r="D796" t="s">
        <v>11</v>
      </c>
    </row>
    <row r="797" spans="1:4" x14ac:dyDescent="0.3">
      <c r="A797">
        <v>796</v>
      </c>
      <c r="B797">
        <v>36</v>
      </c>
      <c r="C797" s="1">
        <v>45470</v>
      </c>
      <c r="D797" t="s">
        <v>11</v>
      </c>
    </row>
    <row r="798" spans="1:4" x14ac:dyDescent="0.3">
      <c r="A798">
        <v>797</v>
      </c>
      <c r="B798">
        <v>223</v>
      </c>
      <c r="C798" s="1">
        <v>45497</v>
      </c>
      <c r="D798" t="s">
        <v>11</v>
      </c>
    </row>
    <row r="799" spans="1:4" x14ac:dyDescent="0.3">
      <c r="A799">
        <v>798</v>
      </c>
      <c r="B799">
        <v>6</v>
      </c>
      <c r="C799" s="1">
        <v>45303</v>
      </c>
      <c r="D799" t="s">
        <v>11</v>
      </c>
    </row>
    <row r="800" spans="1:4" x14ac:dyDescent="0.3">
      <c r="A800">
        <v>799</v>
      </c>
      <c r="B800">
        <v>220</v>
      </c>
      <c r="C800" s="1">
        <v>45567</v>
      </c>
      <c r="D800" t="s">
        <v>11</v>
      </c>
    </row>
    <row r="801" spans="1:4" x14ac:dyDescent="0.3">
      <c r="A801">
        <v>800</v>
      </c>
      <c r="B801">
        <v>75</v>
      </c>
      <c r="C801" s="1">
        <v>45472</v>
      </c>
      <c r="D801" t="s">
        <v>11</v>
      </c>
    </row>
    <row r="802" spans="1:4" x14ac:dyDescent="0.3">
      <c r="A802">
        <v>801</v>
      </c>
      <c r="B802">
        <v>4</v>
      </c>
      <c r="C802" s="1">
        <v>45533</v>
      </c>
      <c r="D802" t="s">
        <v>11</v>
      </c>
    </row>
    <row r="803" spans="1:4" x14ac:dyDescent="0.3">
      <c r="A803">
        <v>802</v>
      </c>
      <c r="B803">
        <v>134</v>
      </c>
      <c r="C803" s="1">
        <v>45507</v>
      </c>
      <c r="D803" t="s">
        <v>11</v>
      </c>
    </row>
    <row r="804" spans="1:4" x14ac:dyDescent="0.3">
      <c r="A804">
        <v>803</v>
      </c>
      <c r="B804">
        <v>118</v>
      </c>
      <c r="C804" s="1">
        <v>45542</v>
      </c>
      <c r="D804" t="s">
        <v>11</v>
      </c>
    </row>
    <row r="805" spans="1:4" x14ac:dyDescent="0.3">
      <c r="A805">
        <v>804</v>
      </c>
      <c r="B805">
        <v>94</v>
      </c>
      <c r="C805" s="1">
        <v>45590</v>
      </c>
      <c r="D805" t="s">
        <v>11</v>
      </c>
    </row>
    <row r="806" spans="1:4" x14ac:dyDescent="0.3">
      <c r="A806">
        <v>805</v>
      </c>
      <c r="B806">
        <v>62</v>
      </c>
      <c r="C806" s="1">
        <v>45417</v>
      </c>
      <c r="D806" t="s">
        <v>11</v>
      </c>
    </row>
    <row r="807" spans="1:4" x14ac:dyDescent="0.3">
      <c r="A807">
        <v>806</v>
      </c>
      <c r="B807">
        <v>194</v>
      </c>
      <c r="C807" s="1">
        <v>45508</v>
      </c>
      <c r="D807" t="s">
        <v>12</v>
      </c>
    </row>
    <row r="808" spans="1:4" x14ac:dyDescent="0.3">
      <c r="A808">
        <v>807</v>
      </c>
      <c r="B808">
        <v>203</v>
      </c>
      <c r="C808" s="1">
        <v>45597</v>
      </c>
      <c r="D808" t="s">
        <v>11</v>
      </c>
    </row>
    <row r="809" spans="1:4" x14ac:dyDescent="0.3">
      <c r="A809">
        <v>808</v>
      </c>
      <c r="B809">
        <v>26</v>
      </c>
      <c r="C809" s="1">
        <v>45576</v>
      </c>
      <c r="D809" t="s">
        <v>11</v>
      </c>
    </row>
    <row r="810" spans="1:4" x14ac:dyDescent="0.3">
      <c r="A810">
        <v>809</v>
      </c>
      <c r="B810">
        <v>173</v>
      </c>
      <c r="C810" s="1">
        <v>45476</v>
      </c>
      <c r="D810" t="s">
        <v>11</v>
      </c>
    </row>
    <row r="811" spans="1:4" x14ac:dyDescent="0.3">
      <c r="A811">
        <v>810</v>
      </c>
      <c r="B811">
        <v>300</v>
      </c>
      <c r="C811" s="1">
        <v>45330</v>
      </c>
      <c r="D811" t="s">
        <v>11</v>
      </c>
    </row>
    <row r="812" spans="1:4" x14ac:dyDescent="0.3">
      <c r="A812">
        <v>811</v>
      </c>
      <c r="B812">
        <v>133</v>
      </c>
      <c r="C812" s="1">
        <v>45514</v>
      </c>
      <c r="D812" t="s">
        <v>11</v>
      </c>
    </row>
    <row r="813" spans="1:4" x14ac:dyDescent="0.3">
      <c r="A813">
        <v>812</v>
      </c>
      <c r="B813">
        <v>118</v>
      </c>
      <c r="C813" s="1">
        <v>45475</v>
      </c>
      <c r="D813" t="s">
        <v>11</v>
      </c>
    </row>
    <row r="814" spans="1:4" x14ac:dyDescent="0.3">
      <c r="A814">
        <v>813</v>
      </c>
      <c r="B814">
        <v>275</v>
      </c>
      <c r="C814" s="1">
        <v>45469</v>
      </c>
      <c r="D814" t="s">
        <v>11</v>
      </c>
    </row>
    <row r="815" spans="1:4" x14ac:dyDescent="0.3">
      <c r="A815">
        <v>814</v>
      </c>
      <c r="B815">
        <v>212</v>
      </c>
      <c r="C815" s="1">
        <v>45585</v>
      </c>
      <c r="D815" t="s">
        <v>11</v>
      </c>
    </row>
    <row r="816" spans="1:4" x14ac:dyDescent="0.3">
      <c r="A816">
        <v>815</v>
      </c>
      <c r="B816">
        <v>225</v>
      </c>
      <c r="C816" s="1">
        <v>45631</v>
      </c>
      <c r="D816" t="s">
        <v>12</v>
      </c>
    </row>
    <row r="817" spans="1:4" x14ac:dyDescent="0.3">
      <c r="A817">
        <v>816</v>
      </c>
      <c r="B817">
        <v>20</v>
      </c>
      <c r="C817" s="1">
        <v>45442</v>
      </c>
      <c r="D817" t="s">
        <v>12</v>
      </c>
    </row>
    <row r="818" spans="1:4" x14ac:dyDescent="0.3">
      <c r="A818">
        <v>817</v>
      </c>
      <c r="B818">
        <v>113</v>
      </c>
      <c r="C818" s="1">
        <v>45417</v>
      </c>
      <c r="D818" t="s">
        <v>13</v>
      </c>
    </row>
    <row r="819" spans="1:4" x14ac:dyDescent="0.3">
      <c r="A819">
        <v>818</v>
      </c>
      <c r="B819">
        <v>140</v>
      </c>
      <c r="C819" s="1">
        <v>45592</v>
      </c>
      <c r="D819" t="s">
        <v>11</v>
      </c>
    </row>
    <row r="820" spans="1:4" x14ac:dyDescent="0.3">
      <c r="A820">
        <v>819</v>
      </c>
      <c r="B820">
        <v>47</v>
      </c>
      <c r="C820" s="1">
        <v>45599</v>
      </c>
      <c r="D820" t="s">
        <v>11</v>
      </c>
    </row>
    <row r="821" spans="1:4" x14ac:dyDescent="0.3">
      <c r="A821">
        <v>820</v>
      </c>
      <c r="B821">
        <v>1</v>
      </c>
      <c r="C821" s="1">
        <v>45627</v>
      </c>
      <c r="D821" t="s">
        <v>11</v>
      </c>
    </row>
    <row r="822" spans="1:4" x14ac:dyDescent="0.3">
      <c r="A822">
        <v>821</v>
      </c>
      <c r="B822">
        <v>90</v>
      </c>
      <c r="C822" s="1">
        <v>45525</v>
      </c>
      <c r="D822" t="s">
        <v>11</v>
      </c>
    </row>
    <row r="823" spans="1:4" x14ac:dyDescent="0.3">
      <c r="A823">
        <v>822</v>
      </c>
      <c r="B823">
        <v>142</v>
      </c>
      <c r="C823" s="1">
        <v>45299</v>
      </c>
      <c r="D823" t="s">
        <v>11</v>
      </c>
    </row>
    <row r="824" spans="1:4" x14ac:dyDescent="0.3">
      <c r="A824">
        <v>823</v>
      </c>
      <c r="B824">
        <v>38</v>
      </c>
      <c r="C824" s="1">
        <v>45632</v>
      </c>
      <c r="D824" t="s">
        <v>11</v>
      </c>
    </row>
    <row r="825" spans="1:4" x14ac:dyDescent="0.3">
      <c r="A825">
        <v>824</v>
      </c>
      <c r="B825">
        <v>293</v>
      </c>
      <c r="C825" s="1">
        <v>45420</v>
      </c>
      <c r="D825" t="s">
        <v>11</v>
      </c>
    </row>
    <row r="826" spans="1:4" x14ac:dyDescent="0.3">
      <c r="A826">
        <v>825</v>
      </c>
      <c r="B826">
        <v>139</v>
      </c>
      <c r="C826" s="1">
        <v>45555</v>
      </c>
      <c r="D826" t="s">
        <v>11</v>
      </c>
    </row>
    <row r="827" spans="1:4" x14ac:dyDescent="0.3">
      <c r="A827">
        <v>826</v>
      </c>
      <c r="B827">
        <v>259</v>
      </c>
      <c r="C827" s="1">
        <v>45448</v>
      </c>
      <c r="D827" t="s">
        <v>11</v>
      </c>
    </row>
    <row r="828" spans="1:4" x14ac:dyDescent="0.3">
      <c r="A828">
        <v>827</v>
      </c>
      <c r="B828">
        <v>161</v>
      </c>
      <c r="C828" s="1">
        <v>45643</v>
      </c>
      <c r="D828" t="s">
        <v>11</v>
      </c>
    </row>
    <row r="829" spans="1:4" x14ac:dyDescent="0.3">
      <c r="A829">
        <v>828</v>
      </c>
      <c r="B829">
        <v>178</v>
      </c>
      <c r="C829" s="1">
        <v>45649</v>
      </c>
      <c r="D829" t="s">
        <v>11</v>
      </c>
    </row>
    <row r="830" spans="1:4" x14ac:dyDescent="0.3">
      <c r="A830">
        <v>829</v>
      </c>
      <c r="B830">
        <v>10</v>
      </c>
      <c r="C830" s="1">
        <v>45296</v>
      </c>
      <c r="D830" t="s">
        <v>12</v>
      </c>
    </row>
    <row r="831" spans="1:4" x14ac:dyDescent="0.3">
      <c r="A831">
        <v>830</v>
      </c>
      <c r="B831">
        <v>261</v>
      </c>
      <c r="C831" s="1">
        <v>45377</v>
      </c>
      <c r="D831" t="s">
        <v>11</v>
      </c>
    </row>
    <row r="832" spans="1:4" x14ac:dyDescent="0.3">
      <c r="A832">
        <v>831</v>
      </c>
      <c r="B832">
        <v>138</v>
      </c>
      <c r="C832" s="1">
        <v>45466</v>
      </c>
      <c r="D832" t="s">
        <v>11</v>
      </c>
    </row>
    <row r="833" spans="1:4" x14ac:dyDescent="0.3">
      <c r="A833">
        <v>832</v>
      </c>
      <c r="B833">
        <v>172</v>
      </c>
      <c r="C833" s="1">
        <v>45581</v>
      </c>
      <c r="D833" t="s">
        <v>11</v>
      </c>
    </row>
    <row r="834" spans="1:4" x14ac:dyDescent="0.3">
      <c r="A834">
        <v>833</v>
      </c>
      <c r="B834">
        <v>13</v>
      </c>
      <c r="C834" s="1">
        <v>45484</v>
      </c>
      <c r="D834" t="s">
        <v>11</v>
      </c>
    </row>
    <row r="835" spans="1:4" x14ac:dyDescent="0.3">
      <c r="A835">
        <v>834</v>
      </c>
      <c r="B835">
        <v>168</v>
      </c>
      <c r="C835" s="1">
        <v>45602</v>
      </c>
      <c r="D835" t="s">
        <v>11</v>
      </c>
    </row>
    <row r="836" spans="1:4" x14ac:dyDescent="0.3">
      <c r="A836">
        <v>835</v>
      </c>
      <c r="B836">
        <v>130</v>
      </c>
      <c r="C836" s="1">
        <v>45410</v>
      </c>
      <c r="D836" t="s">
        <v>11</v>
      </c>
    </row>
    <row r="837" spans="1:4" x14ac:dyDescent="0.3">
      <c r="A837">
        <v>836</v>
      </c>
      <c r="B837">
        <v>84</v>
      </c>
      <c r="C837" s="1">
        <v>45509</v>
      </c>
      <c r="D837" t="s">
        <v>11</v>
      </c>
    </row>
    <row r="838" spans="1:4" x14ac:dyDescent="0.3">
      <c r="A838">
        <v>837</v>
      </c>
      <c r="B838">
        <v>101</v>
      </c>
      <c r="C838" s="1">
        <v>45405</v>
      </c>
      <c r="D838" t="s">
        <v>11</v>
      </c>
    </row>
    <row r="839" spans="1:4" x14ac:dyDescent="0.3">
      <c r="A839">
        <v>838</v>
      </c>
      <c r="B839">
        <v>273</v>
      </c>
      <c r="C839" s="1">
        <v>45436</v>
      </c>
      <c r="D839" t="s">
        <v>11</v>
      </c>
    </row>
    <row r="840" spans="1:4" x14ac:dyDescent="0.3">
      <c r="A840">
        <v>839</v>
      </c>
      <c r="B840">
        <v>265</v>
      </c>
      <c r="C840" s="1">
        <v>45317</v>
      </c>
      <c r="D840" t="s">
        <v>11</v>
      </c>
    </row>
    <row r="841" spans="1:4" x14ac:dyDescent="0.3">
      <c r="A841">
        <v>840</v>
      </c>
      <c r="B841">
        <v>38</v>
      </c>
      <c r="C841" s="1">
        <v>45427</v>
      </c>
      <c r="D841" t="s">
        <v>11</v>
      </c>
    </row>
    <row r="842" spans="1:4" x14ac:dyDescent="0.3">
      <c r="A842">
        <v>841</v>
      </c>
      <c r="B842">
        <v>94</v>
      </c>
      <c r="C842" s="1">
        <v>45594</v>
      </c>
      <c r="D842" t="s">
        <v>11</v>
      </c>
    </row>
    <row r="843" spans="1:4" x14ac:dyDescent="0.3">
      <c r="A843">
        <v>842</v>
      </c>
      <c r="B843">
        <v>95</v>
      </c>
      <c r="C843" s="1">
        <v>45523</v>
      </c>
      <c r="D843" t="s">
        <v>11</v>
      </c>
    </row>
    <row r="844" spans="1:4" x14ac:dyDescent="0.3">
      <c r="A844">
        <v>843</v>
      </c>
      <c r="B844">
        <v>69</v>
      </c>
      <c r="C844" s="1">
        <v>45367</v>
      </c>
      <c r="D844" t="s">
        <v>13</v>
      </c>
    </row>
    <row r="845" spans="1:4" x14ac:dyDescent="0.3">
      <c r="A845">
        <v>844</v>
      </c>
      <c r="B845">
        <v>236</v>
      </c>
      <c r="C845" s="1">
        <v>45619</v>
      </c>
      <c r="D845" t="s">
        <v>11</v>
      </c>
    </row>
    <row r="846" spans="1:4" x14ac:dyDescent="0.3">
      <c r="A846">
        <v>845</v>
      </c>
      <c r="B846">
        <v>137</v>
      </c>
      <c r="C846" s="1">
        <v>45636</v>
      </c>
      <c r="D846" t="s">
        <v>11</v>
      </c>
    </row>
    <row r="847" spans="1:4" x14ac:dyDescent="0.3">
      <c r="A847">
        <v>846</v>
      </c>
      <c r="B847">
        <v>76</v>
      </c>
      <c r="C847" s="1">
        <v>45593</v>
      </c>
      <c r="D847" t="s">
        <v>11</v>
      </c>
    </row>
    <row r="848" spans="1:4" x14ac:dyDescent="0.3">
      <c r="A848">
        <v>847</v>
      </c>
      <c r="B848">
        <v>35</v>
      </c>
      <c r="C848" s="1">
        <v>45580</v>
      </c>
      <c r="D848" t="s">
        <v>11</v>
      </c>
    </row>
    <row r="849" spans="1:4" x14ac:dyDescent="0.3">
      <c r="A849">
        <v>848</v>
      </c>
      <c r="B849">
        <v>1</v>
      </c>
      <c r="C849" s="1">
        <v>45292</v>
      </c>
      <c r="D849" t="s">
        <v>11</v>
      </c>
    </row>
    <row r="850" spans="1:4" x14ac:dyDescent="0.3">
      <c r="A850">
        <v>849</v>
      </c>
      <c r="B850">
        <v>296</v>
      </c>
      <c r="C850" s="1">
        <v>45438</v>
      </c>
      <c r="D850" t="s">
        <v>11</v>
      </c>
    </row>
    <row r="851" spans="1:4" x14ac:dyDescent="0.3">
      <c r="A851">
        <v>850</v>
      </c>
      <c r="B851">
        <v>60</v>
      </c>
      <c r="C851" s="1">
        <v>45578</v>
      </c>
      <c r="D851" t="s">
        <v>13</v>
      </c>
    </row>
    <row r="852" spans="1:4" x14ac:dyDescent="0.3">
      <c r="A852">
        <v>851</v>
      </c>
      <c r="B852">
        <v>267</v>
      </c>
      <c r="C852" s="1">
        <v>45433</v>
      </c>
      <c r="D852" t="s">
        <v>11</v>
      </c>
    </row>
    <row r="853" spans="1:4" x14ac:dyDescent="0.3">
      <c r="A853">
        <v>852</v>
      </c>
      <c r="B853">
        <v>229</v>
      </c>
      <c r="C853" s="1">
        <v>45344</v>
      </c>
      <c r="D853" t="s">
        <v>11</v>
      </c>
    </row>
    <row r="854" spans="1:4" x14ac:dyDescent="0.3">
      <c r="A854">
        <v>853</v>
      </c>
      <c r="B854">
        <v>270</v>
      </c>
      <c r="C854" s="1">
        <v>45595</v>
      </c>
      <c r="D854" t="s">
        <v>11</v>
      </c>
    </row>
    <row r="855" spans="1:4" x14ac:dyDescent="0.3">
      <c r="A855">
        <v>854</v>
      </c>
      <c r="B855">
        <v>286</v>
      </c>
      <c r="C855" s="1">
        <v>45360</v>
      </c>
      <c r="D855" t="s">
        <v>11</v>
      </c>
    </row>
    <row r="856" spans="1:4" x14ac:dyDescent="0.3">
      <c r="A856">
        <v>855</v>
      </c>
      <c r="B856">
        <v>291</v>
      </c>
      <c r="C856" s="1">
        <v>45652</v>
      </c>
      <c r="D856" t="s">
        <v>11</v>
      </c>
    </row>
    <row r="857" spans="1:4" x14ac:dyDescent="0.3">
      <c r="A857">
        <v>856</v>
      </c>
      <c r="B857">
        <v>213</v>
      </c>
      <c r="C857" s="1">
        <v>45381</v>
      </c>
      <c r="D857" t="s">
        <v>11</v>
      </c>
    </row>
    <row r="858" spans="1:4" x14ac:dyDescent="0.3">
      <c r="A858">
        <v>857</v>
      </c>
      <c r="B858">
        <v>165</v>
      </c>
      <c r="C858" s="1">
        <v>45511</v>
      </c>
      <c r="D858" t="s">
        <v>11</v>
      </c>
    </row>
    <row r="859" spans="1:4" x14ac:dyDescent="0.3">
      <c r="A859">
        <v>858</v>
      </c>
      <c r="B859">
        <v>5</v>
      </c>
      <c r="C859" s="1">
        <v>45483</v>
      </c>
      <c r="D859" t="s">
        <v>11</v>
      </c>
    </row>
    <row r="860" spans="1:4" x14ac:dyDescent="0.3">
      <c r="A860">
        <v>859</v>
      </c>
      <c r="B860">
        <v>78</v>
      </c>
      <c r="C860" s="1">
        <v>45354</v>
      </c>
      <c r="D860" t="s">
        <v>11</v>
      </c>
    </row>
    <row r="861" spans="1:4" x14ac:dyDescent="0.3">
      <c r="A861">
        <v>860</v>
      </c>
      <c r="B861">
        <v>62</v>
      </c>
      <c r="C861" s="1">
        <v>45364</v>
      </c>
      <c r="D861" t="s">
        <v>13</v>
      </c>
    </row>
    <row r="862" spans="1:4" x14ac:dyDescent="0.3">
      <c r="A862">
        <v>861</v>
      </c>
      <c r="B862">
        <v>132</v>
      </c>
      <c r="C862" s="1">
        <v>45452</v>
      </c>
      <c r="D862" t="s">
        <v>11</v>
      </c>
    </row>
    <row r="863" spans="1:4" x14ac:dyDescent="0.3">
      <c r="A863">
        <v>862</v>
      </c>
      <c r="B863">
        <v>89</v>
      </c>
      <c r="C863" s="1">
        <v>45460</v>
      </c>
      <c r="D863" t="s">
        <v>13</v>
      </c>
    </row>
    <row r="864" spans="1:4" x14ac:dyDescent="0.3">
      <c r="A864">
        <v>863</v>
      </c>
      <c r="B864">
        <v>237</v>
      </c>
      <c r="C864" s="1">
        <v>45380</v>
      </c>
      <c r="D864" t="s">
        <v>11</v>
      </c>
    </row>
    <row r="865" spans="1:4" x14ac:dyDescent="0.3">
      <c r="A865">
        <v>864</v>
      </c>
      <c r="B865">
        <v>42</v>
      </c>
      <c r="C865" s="1">
        <v>45467</v>
      </c>
      <c r="D865" t="s">
        <v>12</v>
      </c>
    </row>
    <row r="866" spans="1:4" x14ac:dyDescent="0.3">
      <c r="A866">
        <v>865</v>
      </c>
      <c r="B866">
        <v>89</v>
      </c>
      <c r="C866" s="1">
        <v>45560</v>
      </c>
      <c r="D866" t="s">
        <v>11</v>
      </c>
    </row>
    <row r="867" spans="1:4" x14ac:dyDescent="0.3">
      <c r="A867">
        <v>866</v>
      </c>
      <c r="B867">
        <v>296</v>
      </c>
      <c r="C867" s="1">
        <v>45364</v>
      </c>
      <c r="D867" t="s">
        <v>12</v>
      </c>
    </row>
    <row r="868" spans="1:4" x14ac:dyDescent="0.3">
      <c r="A868">
        <v>867</v>
      </c>
      <c r="B868">
        <v>295</v>
      </c>
      <c r="C868" s="1">
        <v>45536</v>
      </c>
      <c r="D868" t="s">
        <v>13</v>
      </c>
    </row>
    <row r="869" spans="1:4" x14ac:dyDescent="0.3">
      <c r="A869">
        <v>868</v>
      </c>
      <c r="B869">
        <v>104</v>
      </c>
      <c r="C869" s="1">
        <v>45368</v>
      </c>
      <c r="D869" t="s">
        <v>11</v>
      </c>
    </row>
    <row r="870" spans="1:4" x14ac:dyDescent="0.3">
      <c r="A870">
        <v>869</v>
      </c>
      <c r="B870">
        <v>14</v>
      </c>
      <c r="C870" s="1">
        <v>45450</v>
      </c>
      <c r="D870" t="s">
        <v>13</v>
      </c>
    </row>
    <row r="871" spans="1:4" x14ac:dyDescent="0.3">
      <c r="A871">
        <v>870</v>
      </c>
      <c r="B871">
        <v>288</v>
      </c>
      <c r="C871" s="1">
        <v>45615</v>
      </c>
      <c r="D871" t="s">
        <v>11</v>
      </c>
    </row>
    <row r="872" spans="1:4" x14ac:dyDescent="0.3">
      <c r="A872">
        <v>871</v>
      </c>
      <c r="B872">
        <v>179</v>
      </c>
      <c r="C872" s="1">
        <v>45389</v>
      </c>
      <c r="D872" t="s">
        <v>11</v>
      </c>
    </row>
    <row r="873" spans="1:4" x14ac:dyDescent="0.3">
      <c r="A873">
        <v>872</v>
      </c>
      <c r="B873">
        <v>125</v>
      </c>
      <c r="C873" s="1">
        <v>45393</v>
      </c>
      <c r="D873" t="s">
        <v>11</v>
      </c>
    </row>
    <row r="874" spans="1:4" x14ac:dyDescent="0.3">
      <c r="A874">
        <v>873</v>
      </c>
      <c r="B874">
        <v>23</v>
      </c>
      <c r="C874" s="1">
        <v>45423</v>
      </c>
      <c r="D874" t="s">
        <v>11</v>
      </c>
    </row>
    <row r="875" spans="1:4" x14ac:dyDescent="0.3">
      <c r="A875">
        <v>874</v>
      </c>
      <c r="B875">
        <v>63</v>
      </c>
      <c r="C875" s="1">
        <v>45393</v>
      </c>
      <c r="D875" t="s">
        <v>11</v>
      </c>
    </row>
    <row r="876" spans="1:4" x14ac:dyDescent="0.3">
      <c r="A876">
        <v>875</v>
      </c>
      <c r="B876">
        <v>143</v>
      </c>
      <c r="C876" s="1">
        <v>45310</v>
      </c>
      <c r="D876" t="s">
        <v>11</v>
      </c>
    </row>
    <row r="877" spans="1:4" x14ac:dyDescent="0.3">
      <c r="A877">
        <v>876</v>
      </c>
      <c r="B877">
        <v>153</v>
      </c>
      <c r="C877" s="1">
        <v>45373</v>
      </c>
      <c r="D877" t="s">
        <v>11</v>
      </c>
    </row>
    <row r="878" spans="1:4" x14ac:dyDescent="0.3">
      <c r="A878">
        <v>877</v>
      </c>
      <c r="B878">
        <v>145</v>
      </c>
      <c r="C878" s="1">
        <v>45570</v>
      </c>
      <c r="D878" t="s">
        <v>11</v>
      </c>
    </row>
    <row r="879" spans="1:4" x14ac:dyDescent="0.3">
      <c r="A879">
        <v>878</v>
      </c>
      <c r="B879">
        <v>225</v>
      </c>
      <c r="C879" s="1">
        <v>45630</v>
      </c>
      <c r="D879" t="s">
        <v>12</v>
      </c>
    </row>
    <row r="880" spans="1:4" x14ac:dyDescent="0.3">
      <c r="A880">
        <v>879</v>
      </c>
      <c r="B880">
        <v>104</v>
      </c>
      <c r="C880" s="1">
        <v>45656</v>
      </c>
      <c r="D880" t="s">
        <v>11</v>
      </c>
    </row>
    <row r="881" spans="1:4" x14ac:dyDescent="0.3">
      <c r="A881">
        <v>880</v>
      </c>
      <c r="B881">
        <v>104</v>
      </c>
      <c r="C881" s="1">
        <v>45622</v>
      </c>
      <c r="D881" t="s">
        <v>11</v>
      </c>
    </row>
    <row r="882" spans="1:4" x14ac:dyDescent="0.3">
      <c r="A882">
        <v>881</v>
      </c>
      <c r="B882">
        <v>39</v>
      </c>
      <c r="C882" s="1">
        <v>45420</v>
      </c>
      <c r="D882" t="s">
        <v>11</v>
      </c>
    </row>
    <row r="883" spans="1:4" x14ac:dyDescent="0.3">
      <c r="A883">
        <v>882</v>
      </c>
      <c r="B883">
        <v>198</v>
      </c>
      <c r="C883" s="1">
        <v>45635</v>
      </c>
      <c r="D883" t="s">
        <v>11</v>
      </c>
    </row>
    <row r="884" spans="1:4" x14ac:dyDescent="0.3">
      <c r="A884">
        <v>883</v>
      </c>
      <c r="B884">
        <v>134</v>
      </c>
      <c r="C884" s="1">
        <v>45601</v>
      </c>
      <c r="D884" t="s">
        <v>11</v>
      </c>
    </row>
    <row r="885" spans="1:4" x14ac:dyDescent="0.3">
      <c r="A885">
        <v>884</v>
      </c>
      <c r="B885">
        <v>67</v>
      </c>
      <c r="C885" s="1">
        <v>45380</v>
      </c>
      <c r="D885" t="s">
        <v>11</v>
      </c>
    </row>
    <row r="886" spans="1:4" x14ac:dyDescent="0.3">
      <c r="A886">
        <v>885</v>
      </c>
      <c r="B886">
        <v>179</v>
      </c>
      <c r="C886" s="1">
        <v>45504</v>
      </c>
      <c r="D886" t="s">
        <v>11</v>
      </c>
    </row>
    <row r="887" spans="1:4" x14ac:dyDescent="0.3">
      <c r="A887">
        <v>886</v>
      </c>
      <c r="B887">
        <v>42</v>
      </c>
      <c r="C887" s="1">
        <v>45434</v>
      </c>
      <c r="D887" t="s">
        <v>13</v>
      </c>
    </row>
    <row r="888" spans="1:4" x14ac:dyDescent="0.3">
      <c r="A888">
        <v>887</v>
      </c>
      <c r="B888">
        <v>15</v>
      </c>
      <c r="C888" s="1">
        <v>45356</v>
      </c>
      <c r="D888" t="s">
        <v>11</v>
      </c>
    </row>
    <row r="889" spans="1:4" x14ac:dyDescent="0.3">
      <c r="A889">
        <v>888</v>
      </c>
      <c r="B889">
        <v>111</v>
      </c>
      <c r="C889" s="1">
        <v>45367</v>
      </c>
      <c r="D889" t="s">
        <v>11</v>
      </c>
    </row>
    <row r="890" spans="1:4" x14ac:dyDescent="0.3">
      <c r="A890">
        <v>889</v>
      </c>
      <c r="B890">
        <v>157</v>
      </c>
      <c r="C890" s="1">
        <v>45490</v>
      </c>
      <c r="D890" t="s">
        <v>11</v>
      </c>
    </row>
    <row r="891" spans="1:4" x14ac:dyDescent="0.3">
      <c r="A891">
        <v>890</v>
      </c>
      <c r="B891">
        <v>289</v>
      </c>
      <c r="C891" s="1">
        <v>45434</v>
      </c>
      <c r="D891" t="s">
        <v>11</v>
      </c>
    </row>
    <row r="892" spans="1:4" x14ac:dyDescent="0.3">
      <c r="A892">
        <v>891</v>
      </c>
      <c r="B892">
        <v>231</v>
      </c>
      <c r="C892" s="1">
        <v>45607</v>
      </c>
      <c r="D892" t="s">
        <v>11</v>
      </c>
    </row>
    <row r="893" spans="1:4" x14ac:dyDescent="0.3">
      <c r="A893">
        <v>892</v>
      </c>
      <c r="B893">
        <v>157</v>
      </c>
      <c r="C893" s="1">
        <v>45384</v>
      </c>
      <c r="D893" t="s">
        <v>11</v>
      </c>
    </row>
    <row r="894" spans="1:4" x14ac:dyDescent="0.3">
      <c r="A894">
        <v>893</v>
      </c>
      <c r="B894">
        <v>38</v>
      </c>
      <c r="C894" s="1">
        <v>45596</v>
      </c>
      <c r="D894" t="s">
        <v>11</v>
      </c>
    </row>
    <row r="895" spans="1:4" x14ac:dyDescent="0.3">
      <c r="A895">
        <v>894</v>
      </c>
      <c r="B895">
        <v>97</v>
      </c>
      <c r="C895" s="1">
        <v>45515</v>
      </c>
      <c r="D895" t="s">
        <v>11</v>
      </c>
    </row>
    <row r="896" spans="1:4" x14ac:dyDescent="0.3">
      <c r="A896">
        <v>895</v>
      </c>
      <c r="B896">
        <v>289</v>
      </c>
      <c r="C896" s="1">
        <v>45582</v>
      </c>
      <c r="D896" t="s">
        <v>13</v>
      </c>
    </row>
    <row r="897" spans="1:4" x14ac:dyDescent="0.3">
      <c r="A897">
        <v>896</v>
      </c>
      <c r="B897">
        <v>254</v>
      </c>
      <c r="C897" s="1">
        <v>45393</v>
      </c>
      <c r="D897" t="s">
        <v>12</v>
      </c>
    </row>
    <row r="898" spans="1:4" x14ac:dyDescent="0.3">
      <c r="A898">
        <v>897</v>
      </c>
      <c r="B898">
        <v>196</v>
      </c>
      <c r="C898" s="1">
        <v>45558</v>
      </c>
      <c r="D898" t="s">
        <v>11</v>
      </c>
    </row>
    <row r="899" spans="1:4" x14ac:dyDescent="0.3">
      <c r="A899">
        <v>898</v>
      </c>
      <c r="B899">
        <v>86</v>
      </c>
      <c r="C899" s="1">
        <v>45646</v>
      </c>
      <c r="D899" t="s">
        <v>11</v>
      </c>
    </row>
    <row r="900" spans="1:4" x14ac:dyDescent="0.3">
      <c r="A900">
        <v>899</v>
      </c>
      <c r="B900">
        <v>10</v>
      </c>
      <c r="C900" s="1">
        <v>45401</v>
      </c>
      <c r="D900" t="s">
        <v>11</v>
      </c>
    </row>
    <row r="901" spans="1:4" x14ac:dyDescent="0.3">
      <c r="A901">
        <v>900</v>
      </c>
      <c r="B901">
        <v>5</v>
      </c>
      <c r="C901" s="1">
        <v>45621</v>
      </c>
      <c r="D901" t="s">
        <v>11</v>
      </c>
    </row>
    <row r="902" spans="1:4" x14ac:dyDescent="0.3">
      <c r="A902">
        <v>901</v>
      </c>
      <c r="B902">
        <v>123</v>
      </c>
      <c r="C902" s="1">
        <v>45556</v>
      </c>
      <c r="D902" t="s">
        <v>11</v>
      </c>
    </row>
    <row r="903" spans="1:4" x14ac:dyDescent="0.3">
      <c r="A903">
        <v>902</v>
      </c>
      <c r="B903">
        <v>118</v>
      </c>
      <c r="C903" s="1">
        <v>45294</v>
      </c>
      <c r="D903" t="s">
        <v>11</v>
      </c>
    </row>
    <row r="904" spans="1:4" x14ac:dyDescent="0.3">
      <c r="A904">
        <v>903</v>
      </c>
      <c r="B904">
        <v>294</v>
      </c>
      <c r="C904" s="1">
        <v>45376</v>
      </c>
      <c r="D904" t="s">
        <v>11</v>
      </c>
    </row>
    <row r="905" spans="1:4" x14ac:dyDescent="0.3">
      <c r="A905">
        <v>904</v>
      </c>
      <c r="B905">
        <v>159</v>
      </c>
      <c r="C905" s="1">
        <v>45573</v>
      </c>
      <c r="D905" t="s">
        <v>11</v>
      </c>
    </row>
    <row r="906" spans="1:4" x14ac:dyDescent="0.3">
      <c r="A906">
        <v>905</v>
      </c>
      <c r="B906">
        <v>228</v>
      </c>
      <c r="C906" s="1">
        <v>45619</v>
      </c>
      <c r="D906" t="s">
        <v>11</v>
      </c>
    </row>
    <row r="907" spans="1:4" x14ac:dyDescent="0.3">
      <c r="A907">
        <v>906</v>
      </c>
      <c r="B907">
        <v>216</v>
      </c>
      <c r="C907" s="1">
        <v>45595</v>
      </c>
      <c r="D907" t="s">
        <v>13</v>
      </c>
    </row>
    <row r="908" spans="1:4" x14ac:dyDescent="0.3">
      <c r="A908">
        <v>907</v>
      </c>
      <c r="B908">
        <v>184</v>
      </c>
      <c r="C908" s="1">
        <v>45408</v>
      </c>
      <c r="D908" t="s">
        <v>13</v>
      </c>
    </row>
    <row r="909" spans="1:4" x14ac:dyDescent="0.3">
      <c r="A909">
        <v>908</v>
      </c>
      <c r="B909">
        <v>15</v>
      </c>
      <c r="C909" s="1">
        <v>45512</v>
      </c>
      <c r="D909" t="s">
        <v>11</v>
      </c>
    </row>
    <row r="910" spans="1:4" x14ac:dyDescent="0.3">
      <c r="A910">
        <v>909</v>
      </c>
      <c r="B910">
        <v>157</v>
      </c>
      <c r="C910" s="1">
        <v>45445</v>
      </c>
      <c r="D910" t="s">
        <v>11</v>
      </c>
    </row>
    <row r="911" spans="1:4" x14ac:dyDescent="0.3">
      <c r="A911">
        <v>910</v>
      </c>
      <c r="B911">
        <v>136</v>
      </c>
      <c r="C911" s="1">
        <v>45444</v>
      </c>
      <c r="D911" t="s">
        <v>12</v>
      </c>
    </row>
    <row r="912" spans="1:4" x14ac:dyDescent="0.3">
      <c r="A912">
        <v>911</v>
      </c>
      <c r="B912">
        <v>261</v>
      </c>
      <c r="C912" s="1">
        <v>45303</v>
      </c>
      <c r="D912" t="s">
        <v>11</v>
      </c>
    </row>
    <row r="913" spans="1:4" x14ac:dyDescent="0.3">
      <c r="A913">
        <v>912</v>
      </c>
      <c r="B913">
        <v>157</v>
      </c>
      <c r="C913" s="1">
        <v>45424</v>
      </c>
      <c r="D913" t="s">
        <v>11</v>
      </c>
    </row>
    <row r="914" spans="1:4" x14ac:dyDescent="0.3">
      <c r="A914">
        <v>913</v>
      </c>
      <c r="B914">
        <v>47</v>
      </c>
      <c r="C914" s="1">
        <v>45595</v>
      </c>
      <c r="D914" t="s">
        <v>11</v>
      </c>
    </row>
    <row r="915" spans="1:4" x14ac:dyDescent="0.3">
      <c r="A915">
        <v>914</v>
      </c>
      <c r="B915">
        <v>173</v>
      </c>
      <c r="C915" s="1">
        <v>45584</v>
      </c>
      <c r="D915" t="s">
        <v>11</v>
      </c>
    </row>
    <row r="916" spans="1:4" x14ac:dyDescent="0.3">
      <c r="A916">
        <v>915</v>
      </c>
      <c r="B916">
        <v>130</v>
      </c>
      <c r="C916" s="1">
        <v>45591</v>
      </c>
      <c r="D916" t="s">
        <v>11</v>
      </c>
    </row>
    <row r="917" spans="1:4" x14ac:dyDescent="0.3">
      <c r="A917">
        <v>916</v>
      </c>
      <c r="B917">
        <v>95</v>
      </c>
      <c r="C917" s="1">
        <v>45519</v>
      </c>
      <c r="D917" t="s">
        <v>12</v>
      </c>
    </row>
    <row r="918" spans="1:4" x14ac:dyDescent="0.3">
      <c r="A918">
        <v>917</v>
      </c>
      <c r="B918">
        <v>115</v>
      </c>
      <c r="C918" s="1">
        <v>45562</v>
      </c>
      <c r="D918" t="s">
        <v>13</v>
      </c>
    </row>
    <row r="919" spans="1:4" x14ac:dyDescent="0.3">
      <c r="A919">
        <v>918</v>
      </c>
      <c r="B919">
        <v>243</v>
      </c>
      <c r="C919" s="1">
        <v>45334</v>
      </c>
      <c r="D919" t="s">
        <v>11</v>
      </c>
    </row>
    <row r="920" spans="1:4" x14ac:dyDescent="0.3">
      <c r="A920">
        <v>919</v>
      </c>
      <c r="B920">
        <v>292</v>
      </c>
      <c r="C920" s="1">
        <v>45634</v>
      </c>
      <c r="D920" t="s">
        <v>11</v>
      </c>
    </row>
    <row r="921" spans="1:4" x14ac:dyDescent="0.3">
      <c r="A921">
        <v>920</v>
      </c>
      <c r="B921">
        <v>282</v>
      </c>
      <c r="C921" s="1">
        <v>45617</v>
      </c>
      <c r="D921" t="s">
        <v>13</v>
      </c>
    </row>
    <row r="922" spans="1:4" x14ac:dyDescent="0.3">
      <c r="A922">
        <v>921</v>
      </c>
      <c r="B922">
        <v>299</v>
      </c>
      <c r="C922" s="1">
        <v>45593</v>
      </c>
      <c r="D922" t="s">
        <v>11</v>
      </c>
    </row>
    <row r="923" spans="1:4" x14ac:dyDescent="0.3">
      <c r="A923">
        <v>922</v>
      </c>
      <c r="B923">
        <v>283</v>
      </c>
      <c r="C923" s="1">
        <v>45655</v>
      </c>
      <c r="D923" t="s">
        <v>12</v>
      </c>
    </row>
    <row r="924" spans="1:4" x14ac:dyDescent="0.3">
      <c r="A924">
        <v>923</v>
      </c>
      <c r="B924">
        <v>69</v>
      </c>
      <c r="C924" s="1">
        <v>45312</v>
      </c>
      <c r="D924" t="s">
        <v>11</v>
      </c>
    </row>
    <row r="925" spans="1:4" x14ac:dyDescent="0.3">
      <c r="A925">
        <v>924</v>
      </c>
      <c r="B925">
        <v>148</v>
      </c>
      <c r="C925" s="1">
        <v>45398</v>
      </c>
      <c r="D925" t="s">
        <v>11</v>
      </c>
    </row>
    <row r="926" spans="1:4" x14ac:dyDescent="0.3">
      <c r="A926">
        <v>925</v>
      </c>
      <c r="B926">
        <v>11</v>
      </c>
      <c r="C926" s="1">
        <v>45627</v>
      </c>
      <c r="D926" t="s">
        <v>11</v>
      </c>
    </row>
    <row r="927" spans="1:4" x14ac:dyDescent="0.3">
      <c r="A927">
        <v>926</v>
      </c>
      <c r="B927">
        <v>254</v>
      </c>
      <c r="C927" s="1">
        <v>45594</v>
      </c>
      <c r="D927" t="s">
        <v>11</v>
      </c>
    </row>
    <row r="928" spans="1:4" x14ac:dyDescent="0.3">
      <c r="A928">
        <v>927</v>
      </c>
      <c r="B928">
        <v>38</v>
      </c>
      <c r="C928" s="1">
        <v>45408</v>
      </c>
      <c r="D928" t="s">
        <v>11</v>
      </c>
    </row>
    <row r="929" spans="1:4" x14ac:dyDescent="0.3">
      <c r="A929">
        <v>928</v>
      </c>
      <c r="B929">
        <v>134</v>
      </c>
      <c r="C929" s="1">
        <v>45415</v>
      </c>
      <c r="D929" t="s">
        <v>11</v>
      </c>
    </row>
    <row r="930" spans="1:4" x14ac:dyDescent="0.3">
      <c r="A930">
        <v>929</v>
      </c>
      <c r="B930">
        <v>200</v>
      </c>
      <c r="C930" s="1">
        <v>45572</v>
      </c>
      <c r="D930" t="s">
        <v>11</v>
      </c>
    </row>
    <row r="931" spans="1:4" x14ac:dyDescent="0.3">
      <c r="A931">
        <v>930</v>
      </c>
      <c r="B931">
        <v>23</v>
      </c>
      <c r="C931" s="1">
        <v>45583</v>
      </c>
      <c r="D931" t="s">
        <v>11</v>
      </c>
    </row>
    <row r="932" spans="1:4" x14ac:dyDescent="0.3">
      <c r="A932">
        <v>931</v>
      </c>
      <c r="B932">
        <v>218</v>
      </c>
      <c r="C932" s="1">
        <v>45494</v>
      </c>
      <c r="D932" t="s">
        <v>11</v>
      </c>
    </row>
    <row r="933" spans="1:4" x14ac:dyDescent="0.3">
      <c r="A933">
        <v>932</v>
      </c>
      <c r="B933">
        <v>141</v>
      </c>
      <c r="C933" s="1">
        <v>45342</v>
      </c>
      <c r="D933" t="s">
        <v>12</v>
      </c>
    </row>
    <row r="934" spans="1:4" x14ac:dyDescent="0.3">
      <c r="A934">
        <v>933</v>
      </c>
      <c r="B934">
        <v>104</v>
      </c>
      <c r="C934" s="1">
        <v>45562</v>
      </c>
      <c r="D934" t="s">
        <v>13</v>
      </c>
    </row>
    <row r="935" spans="1:4" x14ac:dyDescent="0.3">
      <c r="A935">
        <v>934</v>
      </c>
      <c r="B935">
        <v>210</v>
      </c>
      <c r="C935" s="1">
        <v>45615</v>
      </c>
      <c r="D935" t="s">
        <v>11</v>
      </c>
    </row>
    <row r="936" spans="1:4" x14ac:dyDescent="0.3">
      <c r="A936">
        <v>935</v>
      </c>
      <c r="B936">
        <v>111</v>
      </c>
      <c r="C936" s="1">
        <v>45568</v>
      </c>
      <c r="D936" t="s">
        <v>12</v>
      </c>
    </row>
    <row r="937" spans="1:4" x14ac:dyDescent="0.3">
      <c r="A937">
        <v>936</v>
      </c>
      <c r="B937">
        <v>104</v>
      </c>
      <c r="C937" s="1">
        <v>45432</v>
      </c>
      <c r="D937" t="s">
        <v>11</v>
      </c>
    </row>
    <row r="938" spans="1:4" x14ac:dyDescent="0.3">
      <c r="A938">
        <v>937</v>
      </c>
      <c r="B938">
        <v>171</v>
      </c>
      <c r="C938" s="1">
        <v>45566</v>
      </c>
      <c r="D938" t="s">
        <v>11</v>
      </c>
    </row>
    <row r="939" spans="1:4" x14ac:dyDescent="0.3">
      <c r="A939">
        <v>938</v>
      </c>
      <c r="B939">
        <v>133</v>
      </c>
      <c r="C939" s="1">
        <v>45581</v>
      </c>
      <c r="D939" t="s">
        <v>13</v>
      </c>
    </row>
    <row r="940" spans="1:4" x14ac:dyDescent="0.3">
      <c r="A940">
        <v>939</v>
      </c>
      <c r="B940">
        <v>293</v>
      </c>
      <c r="C940" s="1">
        <v>45625</v>
      </c>
      <c r="D940" t="s">
        <v>11</v>
      </c>
    </row>
    <row r="941" spans="1:4" x14ac:dyDescent="0.3">
      <c r="A941">
        <v>940</v>
      </c>
      <c r="B941">
        <v>127</v>
      </c>
      <c r="C941" s="1">
        <v>45343</v>
      </c>
      <c r="D941" t="s">
        <v>11</v>
      </c>
    </row>
    <row r="942" spans="1:4" x14ac:dyDescent="0.3">
      <c r="A942">
        <v>941</v>
      </c>
      <c r="B942">
        <v>106</v>
      </c>
      <c r="C942" s="1">
        <v>45318</v>
      </c>
      <c r="D942" t="s">
        <v>12</v>
      </c>
    </row>
    <row r="943" spans="1:4" x14ac:dyDescent="0.3">
      <c r="A943">
        <v>942</v>
      </c>
      <c r="B943">
        <v>92</v>
      </c>
      <c r="C943" s="1">
        <v>45448</v>
      </c>
      <c r="D943" t="s">
        <v>11</v>
      </c>
    </row>
    <row r="944" spans="1:4" x14ac:dyDescent="0.3">
      <c r="A944">
        <v>943</v>
      </c>
      <c r="B944">
        <v>287</v>
      </c>
      <c r="C944" s="1">
        <v>45530</v>
      </c>
      <c r="D944" t="s">
        <v>12</v>
      </c>
    </row>
    <row r="945" spans="1:4" x14ac:dyDescent="0.3">
      <c r="A945">
        <v>944</v>
      </c>
      <c r="B945">
        <v>51</v>
      </c>
      <c r="C945" s="1">
        <v>45447</v>
      </c>
      <c r="D945" t="s">
        <v>12</v>
      </c>
    </row>
    <row r="946" spans="1:4" x14ac:dyDescent="0.3">
      <c r="A946">
        <v>945</v>
      </c>
      <c r="B946">
        <v>29</v>
      </c>
      <c r="C946" s="1">
        <v>45582</v>
      </c>
      <c r="D946" t="s">
        <v>11</v>
      </c>
    </row>
    <row r="947" spans="1:4" x14ac:dyDescent="0.3">
      <c r="A947">
        <v>946</v>
      </c>
      <c r="B947">
        <v>296</v>
      </c>
      <c r="C947" s="1">
        <v>45427</v>
      </c>
      <c r="D947" t="s">
        <v>12</v>
      </c>
    </row>
    <row r="948" spans="1:4" x14ac:dyDescent="0.3">
      <c r="A948">
        <v>947</v>
      </c>
      <c r="B948">
        <v>297</v>
      </c>
      <c r="C948" s="1">
        <v>45435</v>
      </c>
      <c r="D948" t="s">
        <v>11</v>
      </c>
    </row>
    <row r="949" spans="1:4" x14ac:dyDescent="0.3">
      <c r="A949">
        <v>948</v>
      </c>
      <c r="B949">
        <v>214</v>
      </c>
      <c r="C949" s="1">
        <v>45397</v>
      </c>
      <c r="D949" t="s">
        <v>11</v>
      </c>
    </row>
    <row r="950" spans="1:4" x14ac:dyDescent="0.3">
      <c r="A950">
        <v>949</v>
      </c>
      <c r="B950">
        <v>267</v>
      </c>
      <c r="C950" s="1">
        <v>45449</v>
      </c>
      <c r="D950" t="s">
        <v>11</v>
      </c>
    </row>
    <row r="951" spans="1:4" x14ac:dyDescent="0.3">
      <c r="A951">
        <v>950</v>
      </c>
      <c r="B951">
        <v>257</v>
      </c>
      <c r="C951" s="1">
        <v>45437</v>
      </c>
      <c r="D951" t="s">
        <v>13</v>
      </c>
    </row>
    <row r="952" spans="1:4" x14ac:dyDescent="0.3">
      <c r="A952">
        <v>951</v>
      </c>
      <c r="B952">
        <v>101</v>
      </c>
      <c r="C952" s="1">
        <v>45293</v>
      </c>
      <c r="D952" t="s">
        <v>11</v>
      </c>
    </row>
    <row r="953" spans="1:4" x14ac:dyDescent="0.3">
      <c r="A953">
        <v>952</v>
      </c>
      <c r="B953">
        <v>110</v>
      </c>
      <c r="C953" s="1">
        <v>45368</v>
      </c>
      <c r="D953" t="s">
        <v>11</v>
      </c>
    </row>
    <row r="954" spans="1:4" x14ac:dyDescent="0.3">
      <c r="A954">
        <v>953</v>
      </c>
      <c r="B954">
        <v>182</v>
      </c>
      <c r="C954" s="1">
        <v>45423</v>
      </c>
      <c r="D954" t="s">
        <v>11</v>
      </c>
    </row>
    <row r="955" spans="1:4" x14ac:dyDescent="0.3">
      <c r="A955">
        <v>954</v>
      </c>
      <c r="B955">
        <v>1</v>
      </c>
      <c r="C955" s="1">
        <v>45381</v>
      </c>
      <c r="D955" t="s">
        <v>11</v>
      </c>
    </row>
    <row r="956" spans="1:4" x14ac:dyDescent="0.3">
      <c r="A956">
        <v>955</v>
      </c>
      <c r="B956">
        <v>55</v>
      </c>
      <c r="C956" s="1">
        <v>45636</v>
      </c>
      <c r="D956" t="s">
        <v>11</v>
      </c>
    </row>
    <row r="957" spans="1:4" x14ac:dyDescent="0.3">
      <c r="A957">
        <v>956</v>
      </c>
      <c r="B957">
        <v>149</v>
      </c>
      <c r="C957" s="1">
        <v>45641</v>
      </c>
      <c r="D957" t="s">
        <v>11</v>
      </c>
    </row>
    <row r="958" spans="1:4" x14ac:dyDescent="0.3">
      <c r="A958">
        <v>957</v>
      </c>
      <c r="B958">
        <v>137</v>
      </c>
      <c r="C958" s="1">
        <v>45554</v>
      </c>
      <c r="D958" t="s">
        <v>11</v>
      </c>
    </row>
    <row r="959" spans="1:4" x14ac:dyDescent="0.3">
      <c r="A959">
        <v>958</v>
      </c>
      <c r="B959">
        <v>202</v>
      </c>
      <c r="C959" s="1">
        <v>45642</v>
      </c>
      <c r="D959" t="s">
        <v>11</v>
      </c>
    </row>
    <row r="960" spans="1:4" x14ac:dyDescent="0.3">
      <c r="A960">
        <v>959</v>
      </c>
      <c r="B960">
        <v>117</v>
      </c>
      <c r="C960" s="1">
        <v>45399</v>
      </c>
      <c r="D960" t="s">
        <v>12</v>
      </c>
    </row>
    <row r="961" spans="1:4" x14ac:dyDescent="0.3">
      <c r="A961">
        <v>960</v>
      </c>
      <c r="B961">
        <v>154</v>
      </c>
      <c r="C961" s="1">
        <v>45365</v>
      </c>
      <c r="D961" t="s">
        <v>11</v>
      </c>
    </row>
    <row r="962" spans="1:4" x14ac:dyDescent="0.3">
      <c r="A962">
        <v>961</v>
      </c>
      <c r="B962">
        <v>291</v>
      </c>
      <c r="C962" s="1">
        <v>45330</v>
      </c>
      <c r="D962" t="s">
        <v>11</v>
      </c>
    </row>
    <row r="963" spans="1:4" x14ac:dyDescent="0.3">
      <c r="A963">
        <v>962</v>
      </c>
      <c r="B963">
        <v>63</v>
      </c>
      <c r="C963" s="1">
        <v>45450</v>
      </c>
      <c r="D963" t="s">
        <v>13</v>
      </c>
    </row>
    <row r="964" spans="1:4" x14ac:dyDescent="0.3">
      <c r="A964">
        <v>963</v>
      </c>
      <c r="B964">
        <v>244</v>
      </c>
      <c r="C964" s="1">
        <v>45362</v>
      </c>
      <c r="D964" t="s">
        <v>11</v>
      </c>
    </row>
    <row r="965" spans="1:4" x14ac:dyDescent="0.3">
      <c r="A965">
        <v>964</v>
      </c>
      <c r="B965">
        <v>25</v>
      </c>
      <c r="C965" s="1">
        <v>45603</v>
      </c>
      <c r="D965" t="s">
        <v>13</v>
      </c>
    </row>
    <row r="966" spans="1:4" x14ac:dyDescent="0.3">
      <c r="A966">
        <v>965</v>
      </c>
      <c r="B966">
        <v>90</v>
      </c>
      <c r="C966" s="1">
        <v>45532</v>
      </c>
      <c r="D966" t="s">
        <v>11</v>
      </c>
    </row>
    <row r="967" spans="1:4" x14ac:dyDescent="0.3">
      <c r="A967">
        <v>966</v>
      </c>
      <c r="B967">
        <v>75</v>
      </c>
      <c r="C967" s="1">
        <v>45589</v>
      </c>
      <c r="D967" t="s">
        <v>12</v>
      </c>
    </row>
    <row r="968" spans="1:4" x14ac:dyDescent="0.3">
      <c r="A968">
        <v>967</v>
      </c>
      <c r="B968">
        <v>294</v>
      </c>
      <c r="C968" s="1">
        <v>45327</v>
      </c>
      <c r="D968" t="s">
        <v>11</v>
      </c>
    </row>
    <row r="969" spans="1:4" x14ac:dyDescent="0.3">
      <c r="A969">
        <v>968</v>
      </c>
      <c r="B969">
        <v>210</v>
      </c>
      <c r="C969" s="1">
        <v>45375</v>
      </c>
      <c r="D969" t="s">
        <v>11</v>
      </c>
    </row>
    <row r="970" spans="1:4" x14ac:dyDescent="0.3">
      <c r="A970">
        <v>969</v>
      </c>
      <c r="B970">
        <v>17</v>
      </c>
      <c r="C970" s="1">
        <v>45554</v>
      </c>
      <c r="D970" t="s">
        <v>11</v>
      </c>
    </row>
    <row r="971" spans="1:4" x14ac:dyDescent="0.3">
      <c r="A971">
        <v>970</v>
      </c>
      <c r="B971">
        <v>128</v>
      </c>
      <c r="C971" s="1">
        <v>45601</v>
      </c>
      <c r="D971" t="s">
        <v>12</v>
      </c>
    </row>
    <row r="972" spans="1:4" x14ac:dyDescent="0.3">
      <c r="A972">
        <v>971</v>
      </c>
      <c r="B972">
        <v>251</v>
      </c>
      <c r="C972" s="1">
        <v>45463</v>
      </c>
      <c r="D972" t="s">
        <v>11</v>
      </c>
    </row>
    <row r="973" spans="1:4" x14ac:dyDescent="0.3">
      <c r="A973">
        <v>972</v>
      </c>
      <c r="B973">
        <v>179</v>
      </c>
      <c r="C973" s="1">
        <v>45464</v>
      </c>
      <c r="D973" t="s">
        <v>11</v>
      </c>
    </row>
    <row r="974" spans="1:4" x14ac:dyDescent="0.3">
      <c r="A974">
        <v>973</v>
      </c>
      <c r="B974">
        <v>182</v>
      </c>
      <c r="C974" s="1">
        <v>45653</v>
      </c>
      <c r="D974" t="s">
        <v>11</v>
      </c>
    </row>
    <row r="975" spans="1:4" x14ac:dyDescent="0.3">
      <c r="A975">
        <v>974</v>
      </c>
      <c r="B975">
        <v>152</v>
      </c>
      <c r="C975" s="1">
        <v>45338</v>
      </c>
      <c r="D975" t="s">
        <v>11</v>
      </c>
    </row>
    <row r="976" spans="1:4" x14ac:dyDescent="0.3">
      <c r="A976">
        <v>975</v>
      </c>
      <c r="B976">
        <v>25</v>
      </c>
      <c r="C976" s="1">
        <v>45432</v>
      </c>
      <c r="D976" t="s">
        <v>11</v>
      </c>
    </row>
    <row r="977" spans="1:4" x14ac:dyDescent="0.3">
      <c r="A977">
        <v>976</v>
      </c>
      <c r="B977">
        <v>180</v>
      </c>
      <c r="C977" s="1">
        <v>45409</v>
      </c>
      <c r="D977" t="s">
        <v>11</v>
      </c>
    </row>
    <row r="978" spans="1:4" x14ac:dyDescent="0.3">
      <c r="A978">
        <v>977</v>
      </c>
      <c r="B978">
        <v>198</v>
      </c>
      <c r="C978" s="1">
        <v>45568</v>
      </c>
      <c r="D978" t="s">
        <v>12</v>
      </c>
    </row>
    <row r="979" spans="1:4" x14ac:dyDescent="0.3">
      <c r="A979">
        <v>978</v>
      </c>
      <c r="B979">
        <v>161</v>
      </c>
      <c r="C979" s="1">
        <v>45505</v>
      </c>
      <c r="D979" t="s">
        <v>11</v>
      </c>
    </row>
    <row r="980" spans="1:4" x14ac:dyDescent="0.3">
      <c r="A980">
        <v>979</v>
      </c>
      <c r="B980">
        <v>177</v>
      </c>
      <c r="C980" s="1">
        <v>45511</v>
      </c>
      <c r="D980" t="s">
        <v>11</v>
      </c>
    </row>
    <row r="981" spans="1:4" x14ac:dyDescent="0.3">
      <c r="A981">
        <v>980</v>
      </c>
      <c r="B981">
        <v>285</v>
      </c>
      <c r="C981" s="1">
        <v>45317</v>
      </c>
      <c r="D981" t="s">
        <v>11</v>
      </c>
    </row>
    <row r="982" spans="1:4" x14ac:dyDescent="0.3">
      <c r="A982">
        <v>981</v>
      </c>
      <c r="B982">
        <v>63</v>
      </c>
      <c r="C982" s="1">
        <v>45300</v>
      </c>
      <c r="D982" t="s">
        <v>11</v>
      </c>
    </row>
    <row r="983" spans="1:4" x14ac:dyDescent="0.3">
      <c r="A983">
        <v>982</v>
      </c>
      <c r="B983">
        <v>150</v>
      </c>
      <c r="C983" s="1">
        <v>45562</v>
      </c>
      <c r="D983" t="s">
        <v>11</v>
      </c>
    </row>
    <row r="984" spans="1:4" x14ac:dyDescent="0.3">
      <c r="A984">
        <v>983</v>
      </c>
      <c r="B984">
        <v>154</v>
      </c>
      <c r="C984" s="1">
        <v>45301</v>
      </c>
      <c r="D984" t="s">
        <v>11</v>
      </c>
    </row>
    <row r="985" spans="1:4" x14ac:dyDescent="0.3">
      <c r="A985">
        <v>984</v>
      </c>
      <c r="B985">
        <v>156</v>
      </c>
      <c r="C985" s="1">
        <v>45412</v>
      </c>
      <c r="D985" t="s">
        <v>11</v>
      </c>
    </row>
    <row r="986" spans="1:4" x14ac:dyDescent="0.3">
      <c r="A986">
        <v>985</v>
      </c>
      <c r="B986">
        <v>49</v>
      </c>
      <c r="C986" s="1">
        <v>45416</v>
      </c>
      <c r="D986" t="s">
        <v>11</v>
      </c>
    </row>
    <row r="987" spans="1:4" x14ac:dyDescent="0.3">
      <c r="A987">
        <v>986</v>
      </c>
      <c r="B987">
        <v>84</v>
      </c>
      <c r="C987" s="1">
        <v>45461</v>
      </c>
      <c r="D987" t="s">
        <v>11</v>
      </c>
    </row>
    <row r="988" spans="1:4" x14ac:dyDescent="0.3">
      <c r="A988">
        <v>987</v>
      </c>
      <c r="B988">
        <v>177</v>
      </c>
      <c r="C988" s="1">
        <v>45363</v>
      </c>
      <c r="D988" t="s">
        <v>12</v>
      </c>
    </row>
    <row r="989" spans="1:4" x14ac:dyDescent="0.3">
      <c r="A989">
        <v>988</v>
      </c>
      <c r="B989">
        <v>148</v>
      </c>
      <c r="C989" s="1">
        <v>45443</v>
      </c>
      <c r="D989" t="s">
        <v>13</v>
      </c>
    </row>
    <row r="990" spans="1:4" x14ac:dyDescent="0.3">
      <c r="A990">
        <v>989</v>
      </c>
      <c r="B990">
        <v>118</v>
      </c>
      <c r="C990" s="1">
        <v>45499</v>
      </c>
      <c r="D990" t="s">
        <v>11</v>
      </c>
    </row>
    <row r="991" spans="1:4" x14ac:dyDescent="0.3">
      <c r="A991">
        <v>990</v>
      </c>
      <c r="B991">
        <v>63</v>
      </c>
      <c r="C991" s="1">
        <v>45340</v>
      </c>
      <c r="D991" t="s">
        <v>13</v>
      </c>
    </row>
    <row r="992" spans="1:4" x14ac:dyDescent="0.3">
      <c r="A992">
        <v>991</v>
      </c>
      <c r="B992">
        <v>189</v>
      </c>
      <c r="C992" s="1">
        <v>45445</v>
      </c>
      <c r="D992" t="s">
        <v>11</v>
      </c>
    </row>
    <row r="993" spans="1:4" x14ac:dyDescent="0.3">
      <c r="A993">
        <v>992</v>
      </c>
      <c r="B993">
        <v>49</v>
      </c>
      <c r="C993" s="1">
        <v>45638</v>
      </c>
      <c r="D993" t="s">
        <v>11</v>
      </c>
    </row>
    <row r="994" spans="1:4" x14ac:dyDescent="0.3">
      <c r="A994">
        <v>993</v>
      </c>
      <c r="B994">
        <v>257</v>
      </c>
      <c r="C994" s="1">
        <v>45584</v>
      </c>
      <c r="D994" t="s">
        <v>11</v>
      </c>
    </row>
    <row r="995" spans="1:4" x14ac:dyDescent="0.3">
      <c r="A995">
        <v>994</v>
      </c>
      <c r="B995">
        <v>224</v>
      </c>
      <c r="C995" s="1">
        <v>45359</v>
      </c>
      <c r="D995" t="s">
        <v>11</v>
      </c>
    </row>
    <row r="996" spans="1:4" x14ac:dyDescent="0.3">
      <c r="A996">
        <v>995</v>
      </c>
      <c r="B996">
        <v>141</v>
      </c>
      <c r="C996" s="1">
        <v>45341</v>
      </c>
      <c r="D996" t="s">
        <v>11</v>
      </c>
    </row>
    <row r="997" spans="1:4" x14ac:dyDescent="0.3">
      <c r="A997">
        <v>996</v>
      </c>
      <c r="B997">
        <v>215</v>
      </c>
      <c r="C997" s="1">
        <v>45443</v>
      </c>
      <c r="D997" t="s">
        <v>11</v>
      </c>
    </row>
    <row r="998" spans="1:4" x14ac:dyDescent="0.3">
      <c r="A998">
        <v>997</v>
      </c>
      <c r="B998">
        <v>211</v>
      </c>
      <c r="C998" s="1">
        <v>45310</v>
      </c>
      <c r="D998" t="s">
        <v>11</v>
      </c>
    </row>
    <row r="999" spans="1:4" x14ac:dyDescent="0.3">
      <c r="A999">
        <v>998</v>
      </c>
      <c r="B999">
        <v>32</v>
      </c>
      <c r="C999" s="1">
        <v>45391</v>
      </c>
      <c r="D999" t="s">
        <v>11</v>
      </c>
    </row>
    <row r="1000" spans="1:4" x14ac:dyDescent="0.3">
      <c r="A1000">
        <v>999</v>
      </c>
      <c r="B1000">
        <v>158</v>
      </c>
      <c r="C1000" s="1">
        <v>45351</v>
      </c>
      <c r="D1000" t="s">
        <v>11</v>
      </c>
    </row>
    <row r="1001" spans="1:4" x14ac:dyDescent="0.3">
      <c r="A1001">
        <v>1000</v>
      </c>
      <c r="B1001">
        <v>285</v>
      </c>
      <c r="C1001" s="1">
        <v>45458</v>
      </c>
      <c r="D1001" t="s">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BCA3-7697-4766-869B-6E9E835EDBA4}">
  <sheetPr>
    <pageSetUpPr autoPageBreaks="0"/>
  </sheetPr>
  <dimension ref="A1:H2001"/>
  <sheetViews>
    <sheetView workbookViewId="0">
      <selection sqref="A1:D2001"/>
    </sheetView>
  </sheetViews>
  <sheetFormatPr defaultRowHeight="14.4" x14ac:dyDescent="0.3"/>
  <cols>
    <col min="1" max="1" width="10.109375" bestFit="1" customWidth="1"/>
    <col min="2" max="2" width="12.21875" bestFit="1" customWidth="1"/>
    <col min="3" max="3" width="10.109375" bestFit="1" customWidth="1"/>
    <col min="4" max="4" width="7.5546875" bestFit="1" customWidth="1"/>
  </cols>
  <sheetData>
    <row r="1" spans="1:8" x14ac:dyDescent="0.3">
      <c r="A1" t="s">
        <v>8</v>
      </c>
      <c r="B1" t="s">
        <v>14</v>
      </c>
      <c r="C1" t="s">
        <v>15</v>
      </c>
      <c r="D1" t="s">
        <v>16</v>
      </c>
    </row>
    <row r="2" spans="1:8" x14ac:dyDescent="0.3">
      <c r="A2">
        <v>508</v>
      </c>
      <c r="B2">
        <v>48</v>
      </c>
      <c r="C2">
        <v>3</v>
      </c>
      <c r="D2">
        <v>108</v>
      </c>
    </row>
    <row r="3" spans="1:8" x14ac:dyDescent="0.3">
      <c r="A3">
        <v>290</v>
      </c>
      <c r="B3">
        <v>18</v>
      </c>
      <c r="C3">
        <v>2</v>
      </c>
      <c r="D3">
        <v>93</v>
      </c>
    </row>
    <row r="4" spans="1:8" x14ac:dyDescent="0.3">
      <c r="A4">
        <v>295</v>
      </c>
      <c r="B4">
        <v>16</v>
      </c>
      <c r="C4">
        <v>2</v>
      </c>
      <c r="D4">
        <v>27</v>
      </c>
    </row>
    <row r="5" spans="1:8" x14ac:dyDescent="0.3">
      <c r="A5">
        <v>451</v>
      </c>
      <c r="B5">
        <v>39</v>
      </c>
      <c r="C5">
        <v>2</v>
      </c>
      <c r="D5">
        <v>54</v>
      </c>
    </row>
    <row r="6" spans="1:8" x14ac:dyDescent="0.3">
      <c r="A6">
        <v>904</v>
      </c>
      <c r="B6">
        <v>4</v>
      </c>
      <c r="C6">
        <v>4</v>
      </c>
      <c r="D6">
        <v>117</v>
      </c>
    </row>
    <row r="7" spans="1:8" x14ac:dyDescent="0.3">
      <c r="A7">
        <v>215</v>
      </c>
      <c r="B7">
        <v>25</v>
      </c>
      <c r="C7">
        <v>2</v>
      </c>
      <c r="D7">
        <v>100</v>
      </c>
      <c r="F7">
        <f>MIN(D:D)</f>
        <v>10</v>
      </c>
    </row>
    <row r="8" spans="1:8" x14ac:dyDescent="0.3">
      <c r="A8">
        <v>974</v>
      </c>
      <c r="B8">
        <v>32</v>
      </c>
      <c r="C8">
        <v>5</v>
      </c>
      <c r="D8">
        <v>68</v>
      </c>
      <c r="F8">
        <f>MAX(D:D)</f>
        <v>119</v>
      </c>
      <c r="H8">
        <f>COUNTBLANK(order_items[#All])</f>
        <v>0</v>
      </c>
    </row>
    <row r="9" spans="1:8" x14ac:dyDescent="0.3">
      <c r="A9">
        <v>632</v>
      </c>
      <c r="B9">
        <v>40</v>
      </c>
      <c r="C9">
        <v>1</v>
      </c>
      <c r="D9">
        <v>71</v>
      </c>
    </row>
    <row r="10" spans="1:8" x14ac:dyDescent="0.3">
      <c r="A10">
        <v>894</v>
      </c>
      <c r="B10">
        <v>13</v>
      </c>
      <c r="C10">
        <v>4</v>
      </c>
      <c r="D10">
        <v>68</v>
      </c>
    </row>
    <row r="11" spans="1:8" x14ac:dyDescent="0.3">
      <c r="A11">
        <v>567</v>
      </c>
      <c r="B11">
        <v>45</v>
      </c>
      <c r="C11">
        <v>2</v>
      </c>
      <c r="D11">
        <v>58</v>
      </c>
    </row>
    <row r="12" spans="1:8" x14ac:dyDescent="0.3">
      <c r="A12">
        <v>27</v>
      </c>
      <c r="B12">
        <v>17</v>
      </c>
      <c r="C12">
        <v>1</v>
      </c>
      <c r="D12">
        <v>109</v>
      </c>
    </row>
    <row r="13" spans="1:8" x14ac:dyDescent="0.3">
      <c r="A13">
        <v>630</v>
      </c>
      <c r="B13">
        <v>49</v>
      </c>
      <c r="C13">
        <v>3</v>
      </c>
      <c r="D13">
        <v>72</v>
      </c>
      <c r="H13">
        <f>COUNTIF(order_items[order_id],A:A)</f>
        <v>3</v>
      </c>
    </row>
    <row r="14" spans="1:8" x14ac:dyDescent="0.3">
      <c r="A14">
        <v>733</v>
      </c>
      <c r="B14">
        <v>37</v>
      </c>
      <c r="C14">
        <v>2</v>
      </c>
      <c r="D14">
        <v>96</v>
      </c>
    </row>
    <row r="15" spans="1:8" x14ac:dyDescent="0.3">
      <c r="A15">
        <v>231</v>
      </c>
      <c r="B15">
        <v>6</v>
      </c>
      <c r="C15">
        <v>1</v>
      </c>
      <c r="D15">
        <v>41</v>
      </c>
    </row>
    <row r="16" spans="1:8" x14ac:dyDescent="0.3">
      <c r="A16">
        <v>565</v>
      </c>
      <c r="B16">
        <v>19</v>
      </c>
      <c r="C16">
        <v>5</v>
      </c>
      <c r="D16">
        <v>19</v>
      </c>
    </row>
    <row r="17" spans="1:4" x14ac:dyDescent="0.3">
      <c r="A17">
        <v>807</v>
      </c>
      <c r="B17">
        <v>13</v>
      </c>
      <c r="C17">
        <v>3</v>
      </c>
      <c r="D17">
        <v>20</v>
      </c>
    </row>
    <row r="18" spans="1:4" x14ac:dyDescent="0.3">
      <c r="A18">
        <v>321</v>
      </c>
      <c r="B18">
        <v>26</v>
      </c>
      <c r="C18">
        <v>5</v>
      </c>
      <c r="D18">
        <v>111</v>
      </c>
    </row>
    <row r="19" spans="1:4" x14ac:dyDescent="0.3">
      <c r="A19">
        <v>913</v>
      </c>
      <c r="B19">
        <v>14</v>
      </c>
      <c r="C19">
        <v>1</v>
      </c>
      <c r="D19">
        <v>79</v>
      </c>
    </row>
    <row r="20" spans="1:4" x14ac:dyDescent="0.3">
      <c r="A20">
        <v>233</v>
      </c>
      <c r="B20">
        <v>31</v>
      </c>
      <c r="C20">
        <v>5</v>
      </c>
      <c r="D20">
        <v>114</v>
      </c>
    </row>
    <row r="21" spans="1:4" x14ac:dyDescent="0.3">
      <c r="A21">
        <v>670</v>
      </c>
      <c r="B21">
        <v>4</v>
      </c>
      <c r="C21">
        <v>1</v>
      </c>
      <c r="D21">
        <v>71</v>
      </c>
    </row>
    <row r="22" spans="1:4" x14ac:dyDescent="0.3">
      <c r="A22">
        <v>437</v>
      </c>
      <c r="B22">
        <v>39</v>
      </c>
      <c r="C22">
        <v>1</v>
      </c>
      <c r="D22">
        <v>56</v>
      </c>
    </row>
    <row r="23" spans="1:4" x14ac:dyDescent="0.3">
      <c r="A23">
        <v>781</v>
      </c>
      <c r="B23">
        <v>8</v>
      </c>
      <c r="C23">
        <v>5</v>
      </c>
      <c r="D23">
        <v>43</v>
      </c>
    </row>
    <row r="24" spans="1:4" x14ac:dyDescent="0.3">
      <c r="A24">
        <v>533</v>
      </c>
      <c r="B24">
        <v>25</v>
      </c>
      <c r="C24">
        <v>1</v>
      </c>
      <c r="D24">
        <v>109</v>
      </c>
    </row>
    <row r="25" spans="1:4" x14ac:dyDescent="0.3">
      <c r="A25">
        <v>403</v>
      </c>
      <c r="B25">
        <v>13</v>
      </c>
      <c r="C25">
        <v>2</v>
      </c>
      <c r="D25">
        <v>110</v>
      </c>
    </row>
    <row r="26" spans="1:4" x14ac:dyDescent="0.3">
      <c r="A26">
        <v>53</v>
      </c>
      <c r="B26">
        <v>32</v>
      </c>
      <c r="C26">
        <v>1</v>
      </c>
      <c r="D26">
        <v>26</v>
      </c>
    </row>
    <row r="27" spans="1:4" x14ac:dyDescent="0.3">
      <c r="A27">
        <v>787</v>
      </c>
      <c r="B27">
        <v>38</v>
      </c>
      <c r="C27">
        <v>4</v>
      </c>
      <c r="D27">
        <v>113</v>
      </c>
    </row>
    <row r="28" spans="1:4" x14ac:dyDescent="0.3">
      <c r="A28">
        <v>313</v>
      </c>
      <c r="B28">
        <v>38</v>
      </c>
      <c r="C28">
        <v>1</v>
      </c>
      <c r="D28">
        <v>113</v>
      </c>
    </row>
    <row r="29" spans="1:4" x14ac:dyDescent="0.3">
      <c r="A29">
        <v>281</v>
      </c>
      <c r="B29">
        <v>28</v>
      </c>
      <c r="C29">
        <v>4</v>
      </c>
      <c r="D29">
        <v>63</v>
      </c>
    </row>
    <row r="30" spans="1:4" x14ac:dyDescent="0.3">
      <c r="A30">
        <v>726</v>
      </c>
      <c r="B30">
        <v>30</v>
      </c>
      <c r="C30">
        <v>1</v>
      </c>
      <c r="D30">
        <v>85</v>
      </c>
    </row>
    <row r="31" spans="1:4" x14ac:dyDescent="0.3">
      <c r="A31">
        <v>31</v>
      </c>
      <c r="B31">
        <v>3</v>
      </c>
      <c r="C31">
        <v>1</v>
      </c>
      <c r="D31">
        <v>94</v>
      </c>
    </row>
    <row r="32" spans="1:4" x14ac:dyDescent="0.3">
      <c r="A32">
        <v>337</v>
      </c>
      <c r="B32">
        <v>28</v>
      </c>
      <c r="C32">
        <v>5</v>
      </c>
      <c r="D32">
        <v>49</v>
      </c>
    </row>
    <row r="33" spans="1:4" x14ac:dyDescent="0.3">
      <c r="A33">
        <v>183</v>
      </c>
      <c r="B33">
        <v>3</v>
      </c>
      <c r="C33">
        <v>2</v>
      </c>
      <c r="D33">
        <v>28</v>
      </c>
    </row>
    <row r="34" spans="1:4" x14ac:dyDescent="0.3">
      <c r="A34">
        <v>23</v>
      </c>
      <c r="B34">
        <v>45</v>
      </c>
      <c r="C34">
        <v>2</v>
      </c>
      <c r="D34">
        <v>76</v>
      </c>
    </row>
    <row r="35" spans="1:4" x14ac:dyDescent="0.3">
      <c r="A35">
        <v>544</v>
      </c>
      <c r="B35">
        <v>34</v>
      </c>
      <c r="C35">
        <v>3</v>
      </c>
      <c r="D35">
        <v>91</v>
      </c>
    </row>
    <row r="36" spans="1:4" x14ac:dyDescent="0.3">
      <c r="A36">
        <v>446</v>
      </c>
      <c r="B36">
        <v>16</v>
      </c>
      <c r="C36">
        <v>5</v>
      </c>
      <c r="D36">
        <v>62</v>
      </c>
    </row>
    <row r="37" spans="1:4" x14ac:dyDescent="0.3">
      <c r="A37">
        <v>74</v>
      </c>
      <c r="B37">
        <v>22</v>
      </c>
      <c r="C37">
        <v>5</v>
      </c>
      <c r="D37">
        <v>73</v>
      </c>
    </row>
    <row r="38" spans="1:4" x14ac:dyDescent="0.3">
      <c r="A38">
        <v>10</v>
      </c>
      <c r="B38">
        <v>32</v>
      </c>
      <c r="C38">
        <v>2</v>
      </c>
      <c r="D38">
        <v>92</v>
      </c>
    </row>
    <row r="39" spans="1:4" x14ac:dyDescent="0.3">
      <c r="A39">
        <v>484</v>
      </c>
      <c r="B39">
        <v>38</v>
      </c>
      <c r="C39">
        <v>5</v>
      </c>
      <c r="D39">
        <v>56</v>
      </c>
    </row>
    <row r="40" spans="1:4" x14ac:dyDescent="0.3">
      <c r="A40">
        <v>456</v>
      </c>
      <c r="B40">
        <v>8</v>
      </c>
      <c r="C40">
        <v>2</v>
      </c>
      <c r="D40">
        <v>15</v>
      </c>
    </row>
    <row r="41" spans="1:4" x14ac:dyDescent="0.3">
      <c r="A41">
        <v>566</v>
      </c>
      <c r="B41">
        <v>8</v>
      </c>
      <c r="C41">
        <v>5</v>
      </c>
      <c r="D41">
        <v>25</v>
      </c>
    </row>
    <row r="42" spans="1:4" x14ac:dyDescent="0.3">
      <c r="A42">
        <v>564</v>
      </c>
      <c r="B42">
        <v>6</v>
      </c>
      <c r="C42">
        <v>1</v>
      </c>
      <c r="D42">
        <v>81</v>
      </c>
    </row>
    <row r="43" spans="1:4" x14ac:dyDescent="0.3">
      <c r="A43">
        <v>660</v>
      </c>
      <c r="B43">
        <v>14</v>
      </c>
      <c r="C43">
        <v>2</v>
      </c>
      <c r="D43">
        <v>27</v>
      </c>
    </row>
    <row r="44" spans="1:4" x14ac:dyDescent="0.3">
      <c r="A44">
        <v>160</v>
      </c>
      <c r="B44">
        <v>32</v>
      </c>
      <c r="C44">
        <v>2</v>
      </c>
      <c r="D44">
        <v>61</v>
      </c>
    </row>
    <row r="45" spans="1:4" x14ac:dyDescent="0.3">
      <c r="A45">
        <v>882</v>
      </c>
      <c r="B45">
        <v>35</v>
      </c>
      <c r="C45">
        <v>4</v>
      </c>
      <c r="D45">
        <v>57</v>
      </c>
    </row>
    <row r="46" spans="1:4" x14ac:dyDescent="0.3">
      <c r="A46">
        <v>14</v>
      </c>
      <c r="B46">
        <v>10</v>
      </c>
      <c r="C46">
        <v>5</v>
      </c>
      <c r="D46">
        <v>52</v>
      </c>
    </row>
    <row r="47" spans="1:4" x14ac:dyDescent="0.3">
      <c r="A47">
        <v>178</v>
      </c>
      <c r="B47">
        <v>3</v>
      </c>
      <c r="C47">
        <v>5</v>
      </c>
      <c r="D47">
        <v>48</v>
      </c>
    </row>
    <row r="48" spans="1:4" x14ac:dyDescent="0.3">
      <c r="A48">
        <v>412</v>
      </c>
      <c r="B48">
        <v>12</v>
      </c>
      <c r="C48">
        <v>2</v>
      </c>
      <c r="D48">
        <v>58</v>
      </c>
    </row>
    <row r="49" spans="1:4" x14ac:dyDescent="0.3">
      <c r="A49">
        <v>878</v>
      </c>
      <c r="B49">
        <v>49</v>
      </c>
      <c r="C49">
        <v>1</v>
      </c>
      <c r="D49">
        <v>21</v>
      </c>
    </row>
    <row r="50" spans="1:4" x14ac:dyDescent="0.3">
      <c r="A50">
        <v>53</v>
      </c>
      <c r="B50">
        <v>31</v>
      </c>
      <c r="C50">
        <v>1</v>
      </c>
      <c r="D50">
        <v>118</v>
      </c>
    </row>
    <row r="51" spans="1:4" x14ac:dyDescent="0.3">
      <c r="A51">
        <v>408</v>
      </c>
      <c r="B51">
        <v>29</v>
      </c>
      <c r="C51">
        <v>1</v>
      </c>
      <c r="D51">
        <v>19</v>
      </c>
    </row>
    <row r="52" spans="1:4" x14ac:dyDescent="0.3">
      <c r="A52">
        <v>847</v>
      </c>
      <c r="B52">
        <v>5</v>
      </c>
      <c r="C52">
        <v>5</v>
      </c>
      <c r="D52">
        <v>80</v>
      </c>
    </row>
    <row r="53" spans="1:4" x14ac:dyDescent="0.3">
      <c r="A53">
        <v>22</v>
      </c>
      <c r="B53">
        <v>25</v>
      </c>
      <c r="C53">
        <v>4</v>
      </c>
      <c r="D53">
        <v>119</v>
      </c>
    </row>
    <row r="54" spans="1:4" x14ac:dyDescent="0.3">
      <c r="A54">
        <v>30</v>
      </c>
      <c r="B54">
        <v>41</v>
      </c>
      <c r="C54">
        <v>2</v>
      </c>
      <c r="D54">
        <v>64</v>
      </c>
    </row>
    <row r="55" spans="1:4" x14ac:dyDescent="0.3">
      <c r="A55">
        <v>703</v>
      </c>
      <c r="B55">
        <v>31</v>
      </c>
      <c r="C55">
        <v>3</v>
      </c>
      <c r="D55">
        <v>10</v>
      </c>
    </row>
    <row r="56" spans="1:4" x14ac:dyDescent="0.3">
      <c r="A56">
        <v>260</v>
      </c>
      <c r="B56">
        <v>21</v>
      </c>
      <c r="C56">
        <v>4</v>
      </c>
      <c r="D56">
        <v>58</v>
      </c>
    </row>
    <row r="57" spans="1:4" x14ac:dyDescent="0.3">
      <c r="A57">
        <v>205</v>
      </c>
      <c r="B57">
        <v>20</v>
      </c>
      <c r="C57">
        <v>3</v>
      </c>
      <c r="D57">
        <v>45</v>
      </c>
    </row>
    <row r="58" spans="1:4" x14ac:dyDescent="0.3">
      <c r="A58">
        <v>59</v>
      </c>
      <c r="B58">
        <v>39</v>
      </c>
      <c r="C58">
        <v>4</v>
      </c>
      <c r="D58">
        <v>30</v>
      </c>
    </row>
    <row r="59" spans="1:4" x14ac:dyDescent="0.3">
      <c r="A59">
        <v>471</v>
      </c>
      <c r="B59">
        <v>22</v>
      </c>
      <c r="C59">
        <v>1</v>
      </c>
      <c r="D59">
        <v>46</v>
      </c>
    </row>
    <row r="60" spans="1:4" x14ac:dyDescent="0.3">
      <c r="A60">
        <v>776</v>
      </c>
      <c r="B60">
        <v>4</v>
      </c>
      <c r="C60">
        <v>5</v>
      </c>
      <c r="D60">
        <v>33</v>
      </c>
    </row>
    <row r="61" spans="1:4" x14ac:dyDescent="0.3">
      <c r="A61">
        <v>466</v>
      </c>
      <c r="B61">
        <v>13</v>
      </c>
      <c r="C61">
        <v>3</v>
      </c>
      <c r="D61">
        <v>64</v>
      </c>
    </row>
    <row r="62" spans="1:4" x14ac:dyDescent="0.3">
      <c r="A62">
        <v>12</v>
      </c>
      <c r="B62">
        <v>45</v>
      </c>
      <c r="C62">
        <v>4</v>
      </c>
      <c r="D62">
        <v>34</v>
      </c>
    </row>
    <row r="63" spans="1:4" x14ac:dyDescent="0.3">
      <c r="A63">
        <v>631</v>
      </c>
      <c r="B63">
        <v>42</v>
      </c>
      <c r="C63">
        <v>5</v>
      </c>
      <c r="D63">
        <v>16</v>
      </c>
    </row>
    <row r="64" spans="1:4" x14ac:dyDescent="0.3">
      <c r="A64">
        <v>927</v>
      </c>
      <c r="B64">
        <v>50</v>
      </c>
      <c r="C64">
        <v>3</v>
      </c>
      <c r="D64">
        <v>115</v>
      </c>
    </row>
    <row r="65" spans="1:4" x14ac:dyDescent="0.3">
      <c r="A65">
        <v>974</v>
      </c>
      <c r="B65">
        <v>49</v>
      </c>
      <c r="C65">
        <v>2</v>
      </c>
      <c r="D65">
        <v>90</v>
      </c>
    </row>
    <row r="66" spans="1:4" x14ac:dyDescent="0.3">
      <c r="A66">
        <v>290</v>
      </c>
      <c r="B66">
        <v>20</v>
      </c>
      <c r="C66">
        <v>4</v>
      </c>
      <c r="D66">
        <v>102</v>
      </c>
    </row>
    <row r="67" spans="1:4" x14ac:dyDescent="0.3">
      <c r="A67">
        <v>850</v>
      </c>
      <c r="B67">
        <v>13</v>
      </c>
      <c r="C67">
        <v>2</v>
      </c>
      <c r="D67">
        <v>103</v>
      </c>
    </row>
    <row r="68" spans="1:4" x14ac:dyDescent="0.3">
      <c r="A68">
        <v>760</v>
      </c>
      <c r="B68">
        <v>17</v>
      </c>
      <c r="C68">
        <v>1</v>
      </c>
      <c r="D68">
        <v>80</v>
      </c>
    </row>
    <row r="69" spans="1:4" x14ac:dyDescent="0.3">
      <c r="A69">
        <v>354</v>
      </c>
      <c r="B69">
        <v>36</v>
      </c>
      <c r="C69">
        <v>2</v>
      </c>
      <c r="D69">
        <v>106</v>
      </c>
    </row>
    <row r="70" spans="1:4" x14ac:dyDescent="0.3">
      <c r="A70">
        <v>639</v>
      </c>
      <c r="B70">
        <v>33</v>
      </c>
      <c r="C70">
        <v>2</v>
      </c>
      <c r="D70">
        <v>80</v>
      </c>
    </row>
    <row r="71" spans="1:4" x14ac:dyDescent="0.3">
      <c r="A71">
        <v>75</v>
      </c>
      <c r="B71">
        <v>1</v>
      </c>
      <c r="C71">
        <v>4</v>
      </c>
      <c r="D71">
        <v>33</v>
      </c>
    </row>
    <row r="72" spans="1:4" x14ac:dyDescent="0.3">
      <c r="A72">
        <v>873</v>
      </c>
      <c r="B72">
        <v>15</v>
      </c>
      <c r="C72">
        <v>1</v>
      </c>
      <c r="D72">
        <v>20</v>
      </c>
    </row>
    <row r="73" spans="1:4" x14ac:dyDescent="0.3">
      <c r="A73">
        <v>716</v>
      </c>
      <c r="B73">
        <v>13</v>
      </c>
      <c r="C73">
        <v>2</v>
      </c>
      <c r="D73">
        <v>82</v>
      </c>
    </row>
    <row r="74" spans="1:4" x14ac:dyDescent="0.3">
      <c r="A74">
        <v>561</v>
      </c>
      <c r="B74">
        <v>17</v>
      </c>
      <c r="C74">
        <v>5</v>
      </c>
      <c r="D74">
        <v>21</v>
      </c>
    </row>
    <row r="75" spans="1:4" x14ac:dyDescent="0.3">
      <c r="A75">
        <v>591</v>
      </c>
      <c r="B75">
        <v>24</v>
      </c>
      <c r="C75">
        <v>3</v>
      </c>
      <c r="D75">
        <v>44</v>
      </c>
    </row>
    <row r="76" spans="1:4" x14ac:dyDescent="0.3">
      <c r="A76">
        <v>441</v>
      </c>
      <c r="B76">
        <v>8</v>
      </c>
      <c r="C76">
        <v>2</v>
      </c>
      <c r="D76">
        <v>72</v>
      </c>
    </row>
    <row r="77" spans="1:4" x14ac:dyDescent="0.3">
      <c r="A77">
        <v>991</v>
      </c>
      <c r="B77">
        <v>50</v>
      </c>
      <c r="C77">
        <v>1</v>
      </c>
      <c r="D77">
        <v>77</v>
      </c>
    </row>
    <row r="78" spans="1:4" x14ac:dyDescent="0.3">
      <c r="A78">
        <v>241</v>
      </c>
      <c r="B78">
        <v>27</v>
      </c>
      <c r="C78">
        <v>2</v>
      </c>
      <c r="D78">
        <v>109</v>
      </c>
    </row>
    <row r="79" spans="1:4" x14ac:dyDescent="0.3">
      <c r="A79">
        <v>861</v>
      </c>
      <c r="B79">
        <v>45</v>
      </c>
      <c r="C79">
        <v>3</v>
      </c>
      <c r="D79">
        <v>101</v>
      </c>
    </row>
    <row r="80" spans="1:4" x14ac:dyDescent="0.3">
      <c r="A80">
        <v>154</v>
      </c>
      <c r="B80">
        <v>23</v>
      </c>
      <c r="C80">
        <v>1</v>
      </c>
      <c r="D80">
        <v>66</v>
      </c>
    </row>
    <row r="81" spans="1:4" x14ac:dyDescent="0.3">
      <c r="A81">
        <v>786</v>
      </c>
      <c r="B81">
        <v>46</v>
      </c>
      <c r="C81">
        <v>4</v>
      </c>
      <c r="D81">
        <v>22</v>
      </c>
    </row>
    <row r="82" spans="1:4" x14ac:dyDescent="0.3">
      <c r="A82">
        <v>96</v>
      </c>
      <c r="B82">
        <v>8</v>
      </c>
      <c r="C82">
        <v>1</v>
      </c>
      <c r="D82">
        <v>32</v>
      </c>
    </row>
    <row r="83" spans="1:4" x14ac:dyDescent="0.3">
      <c r="A83">
        <v>726</v>
      </c>
      <c r="B83">
        <v>8</v>
      </c>
      <c r="C83">
        <v>4</v>
      </c>
      <c r="D83">
        <v>92</v>
      </c>
    </row>
    <row r="84" spans="1:4" x14ac:dyDescent="0.3">
      <c r="A84">
        <v>294</v>
      </c>
      <c r="B84">
        <v>26</v>
      </c>
      <c r="C84">
        <v>1</v>
      </c>
      <c r="D84">
        <v>115</v>
      </c>
    </row>
    <row r="85" spans="1:4" x14ac:dyDescent="0.3">
      <c r="A85">
        <v>209</v>
      </c>
      <c r="B85">
        <v>47</v>
      </c>
      <c r="C85">
        <v>3</v>
      </c>
      <c r="D85">
        <v>110</v>
      </c>
    </row>
    <row r="86" spans="1:4" x14ac:dyDescent="0.3">
      <c r="A86">
        <v>343</v>
      </c>
      <c r="B86">
        <v>13</v>
      </c>
      <c r="C86">
        <v>3</v>
      </c>
      <c r="D86">
        <v>48</v>
      </c>
    </row>
    <row r="87" spans="1:4" x14ac:dyDescent="0.3">
      <c r="A87">
        <v>88</v>
      </c>
      <c r="B87">
        <v>39</v>
      </c>
      <c r="C87">
        <v>1</v>
      </c>
      <c r="D87">
        <v>97</v>
      </c>
    </row>
    <row r="88" spans="1:4" x14ac:dyDescent="0.3">
      <c r="A88">
        <v>818</v>
      </c>
      <c r="B88">
        <v>37</v>
      </c>
      <c r="C88">
        <v>2</v>
      </c>
      <c r="D88">
        <v>89</v>
      </c>
    </row>
    <row r="89" spans="1:4" x14ac:dyDescent="0.3">
      <c r="A89">
        <v>776</v>
      </c>
      <c r="B89">
        <v>49</v>
      </c>
      <c r="C89">
        <v>3</v>
      </c>
      <c r="D89">
        <v>106</v>
      </c>
    </row>
    <row r="90" spans="1:4" x14ac:dyDescent="0.3">
      <c r="A90">
        <v>937</v>
      </c>
      <c r="B90">
        <v>28</v>
      </c>
      <c r="C90">
        <v>4</v>
      </c>
      <c r="D90">
        <v>21</v>
      </c>
    </row>
    <row r="91" spans="1:4" x14ac:dyDescent="0.3">
      <c r="A91">
        <v>390</v>
      </c>
      <c r="B91">
        <v>25</v>
      </c>
      <c r="C91">
        <v>4</v>
      </c>
      <c r="D91">
        <v>43</v>
      </c>
    </row>
    <row r="92" spans="1:4" x14ac:dyDescent="0.3">
      <c r="A92">
        <v>325</v>
      </c>
      <c r="B92">
        <v>16</v>
      </c>
      <c r="C92">
        <v>5</v>
      </c>
      <c r="D92">
        <v>80</v>
      </c>
    </row>
    <row r="93" spans="1:4" x14ac:dyDescent="0.3">
      <c r="A93">
        <v>940</v>
      </c>
      <c r="B93">
        <v>2</v>
      </c>
      <c r="C93">
        <v>4</v>
      </c>
      <c r="D93">
        <v>84</v>
      </c>
    </row>
    <row r="94" spans="1:4" x14ac:dyDescent="0.3">
      <c r="A94">
        <v>889</v>
      </c>
      <c r="B94">
        <v>18</v>
      </c>
      <c r="C94">
        <v>5</v>
      </c>
      <c r="D94">
        <v>40</v>
      </c>
    </row>
    <row r="95" spans="1:4" x14ac:dyDescent="0.3">
      <c r="A95">
        <v>832</v>
      </c>
      <c r="B95">
        <v>17</v>
      </c>
      <c r="C95">
        <v>1</v>
      </c>
      <c r="D95">
        <v>102</v>
      </c>
    </row>
    <row r="96" spans="1:4" x14ac:dyDescent="0.3">
      <c r="A96">
        <v>157</v>
      </c>
      <c r="B96">
        <v>30</v>
      </c>
      <c r="C96">
        <v>1</v>
      </c>
      <c r="D96">
        <v>71</v>
      </c>
    </row>
    <row r="97" spans="1:4" x14ac:dyDescent="0.3">
      <c r="A97">
        <v>668</v>
      </c>
      <c r="B97">
        <v>39</v>
      </c>
      <c r="C97">
        <v>1</v>
      </c>
      <c r="D97">
        <v>22</v>
      </c>
    </row>
    <row r="98" spans="1:4" x14ac:dyDescent="0.3">
      <c r="A98">
        <v>651</v>
      </c>
      <c r="B98">
        <v>13</v>
      </c>
      <c r="C98">
        <v>2</v>
      </c>
      <c r="D98">
        <v>40</v>
      </c>
    </row>
    <row r="99" spans="1:4" x14ac:dyDescent="0.3">
      <c r="A99">
        <v>633</v>
      </c>
      <c r="B99">
        <v>32</v>
      </c>
      <c r="C99">
        <v>2</v>
      </c>
      <c r="D99">
        <v>11</v>
      </c>
    </row>
    <row r="100" spans="1:4" x14ac:dyDescent="0.3">
      <c r="A100">
        <v>577</v>
      </c>
      <c r="B100">
        <v>50</v>
      </c>
      <c r="C100">
        <v>5</v>
      </c>
      <c r="D100">
        <v>112</v>
      </c>
    </row>
    <row r="101" spans="1:4" x14ac:dyDescent="0.3">
      <c r="A101">
        <v>619</v>
      </c>
      <c r="B101">
        <v>29</v>
      </c>
      <c r="C101">
        <v>4</v>
      </c>
      <c r="D101">
        <v>24</v>
      </c>
    </row>
    <row r="102" spans="1:4" x14ac:dyDescent="0.3">
      <c r="A102">
        <v>659</v>
      </c>
      <c r="B102">
        <v>46</v>
      </c>
      <c r="C102">
        <v>4</v>
      </c>
      <c r="D102">
        <v>66</v>
      </c>
    </row>
    <row r="103" spans="1:4" x14ac:dyDescent="0.3">
      <c r="A103">
        <v>137</v>
      </c>
      <c r="B103">
        <v>30</v>
      </c>
      <c r="C103">
        <v>1</v>
      </c>
      <c r="D103">
        <v>84</v>
      </c>
    </row>
    <row r="104" spans="1:4" x14ac:dyDescent="0.3">
      <c r="A104">
        <v>923</v>
      </c>
      <c r="B104">
        <v>18</v>
      </c>
      <c r="C104">
        <v>3</v>
      </c>
      <c r="D104">
        <v>43</v>
      </c>
    </row>
    <row r="105" spans="1:4" x14ac:dyDescent="0.3">
      <c r="A105">
        <v>674</v>
      </c>
      <c r="B105">
        <v>13</v>
      </c>
      <c r="C105">
        <v>2</v>
      </c>
      <c r="D105">
        <v>112</v>
      </c>
    </row>
    <row r="106" spans="1:4" x14ac:dyDescent="0.3">
      <c r="A106">
        <v>428</v>
      </c>
      <c r="B106">
        <v>43</v>
      </c>
      <c r="C106">
        <v>2</v>
      </c>
      <c r="D106">
        <v>77</v>
      </c>
    </row>
    <row r="107" spans="1:4" x14ac:dyDescent="0.3">
      <c r="A107">
        <v>452</v>
      </c>
      <c r="B107">
        <v>21</v>
      </c>
      <c r="C107">
        <v>1</v>
      </c>
      <c r="D107">
        <v>84</v>
      </c>
    </row>
    <row r="108" spans="1:4" x14ac:dyDescent="0.3">
      <c r="A108">
        <v>612</v>
      </c>
      <c r="B108">
        <v>30</v>
      </c>
      <c r="C108">
        <v>2</v>
      </c>
      <c r="D108">
        <v>38</v>
      </c>
    </row>
    <row r="109" spans="1:4" x14ac:dyDescent="0.3">
      <c r="A109">
        <v>850</v>
      </c>
      <c r="B109">
        <v>21</v>
      </c>
      <c r="C109">
        <v>1</v>
      </c>
      <c r="D109">
        <v>75</v>
      </c>
    </row>
    <row r="110" spans="1:4" x14ac:dyDescent="0.3">
      <c r="A110">
        <v>911</v>
      </c>
      <c r="B110">
        <v>48</v>
      </c>
      <c r="C110">
        <v>5</v>
      </c>
      <c r="D110">
        <v>25</v>
      </c>
    </row>
    <row r="111" spans="1:4" x14ac:dyDescent="0.3">
      <c r="A111">
        <v>819</v>
      </c>
      <c r="B111">
        <v>17</v>
      </c>
      <c r="C111">
        <v>4</v>
      </c>
      <c r="D111">
        <v>48</v>
      </c>
    </row>
    <row r="112" spans="1:4" x14ac:dyDescent="0.3">
      <c r="A112">
        <v>141</v>
      </c>
      <c r="B112">
        <v>40</v>
      </c>
      <c r="C112">
        <v>3</v>
      </c>
      <c r="D112">
        <v>86</v>
      </c>
    </row>
    <row r="113" spans="1:4" x14ac:dyDescent="0.3">
      <c r="A113">
        <v>83</v>
      </c>
      <c r="B113">
        <v>19</v>
      </c>
      <c r="C113">
        <v>4</v>
      </c>
      <c r="D113">
        <v>46</v>
      </c>
    </row>
    <row r="114" spans="1:4" x14ac:dyDescent="0.3">
      <c r="A114">
        <v>177</v>
      </c>
      <c r="B114">
        <v>15</v>
      </c>
      <c r="C114">
        <v>4</v>
      </c>
      <c r="D114">
        <v>90</v>
      </c>
    </row>
    <row r="115" spans="1:4" x14ac:dyDescent="0.3">
      <c r="A115">
        <v>198</v>
      </c>
      <c r="B115">
        <v>9</v>
      </c>
      <c r="C115">
        <v>5</v>
      </c>
      <c r="D115">
        <v>30</v>
      </c>
    </row>
    <row r="116" spans="1:4" x14ac:dyDescent="0.3">
      <c r="A116">
        <v>624</v>
      </c>
      <c r="B116">
        <v>10</v>
      </c>
      <c r="C116">
        <v>2</v>
      </c>
      <c r="D116">
        <v>53</v>
      </c>
    </row>
    <row r="117" spans="1:4" x14ac:dyDescent="0.3">
      <c r="A117">
        <v>568</v>
      </c>
      <c r="B117">
        <v>44</v>
      </c>
      <c r="C117">
        <v>3</v>
      </c>
      <c r="D117">
        <v>28</v>
      </c>
    </row>
    <row r="118" spans="1:4" x14ac:dyDescent="0.3">
      <c r="A118">
        <v>972</v>
      </c>
      <c r="B118">
        <v>31</v>
      </c>
      <c r="C118">
        <v>2</v>
      </c>
      <c r="D118">
        <v>80</v>
      </c>
    </row>
    <row r="119" spans="1:4" x14ac:dyDescent="0.3">
      <c r="A119">
        <v>691</v>
      </c>
      <c r="B119">
        <v>23</v>
      </c>
      <c r="C119">
        <v>4</v>
      </c>
      <c r="D119">
        <v>111</v>
      </c>
    </row>
    <row r="120" spans="1:4" x14ac:dyDescent="0.3">
      <c r="A120">
        <v>421</v>
      </c>
      <c r="B120">
        <v>30</v>
      </c>
      <c r="C120">
        <v>1</v>
      </c>
      <c r="D120">
        <v>17</v>
      </c>
    </row>
    <row r="121" spans="1:4" x14ac:dyDescent="0.3">
      <c r="A121">
        <v>401</v>
      </c>
      <c r="B121">
        <v>33</v>
      </c>
      <c r="C121">
        <v>4</v>
      </c>
      <c r="D121">
        <v>86</v>
      </c>
    </row>
    <row r="122" spans="1:4" x14ac:dyDescent="0.3">
      <c r="A122">
        <v>698</v>
      </c>
      <c r="B122">
        <v>9</v>
      </c>
      <c r="C122">
        <v>2</v>
      </c>
      <c r="D122">
        <v>110</v>
      </c>
    </row>
    <row r="123" spans="1:4" x14ac:dyDescent="0.3">
      <c r="A123">
        <v>471</v>
      </c>
      <c r="B123">
        <v>47</v>
      </c>
      <c r="C123">
        <v>4</v>
      </c>
      <c r="D123">
        <v>75</v>
      </c>
    </row>
    <row r="124" spans="1:4" x14ac:dyDescent="0.3">
      <c r="A124">
        <v>218</v>
      </c>
      <c r="B124">
        <v>1</v>
      </c>
      <c r="C124">
        <v>1</v>
      </c>
      <c r="D124">
        <v>50</v>
      </c>
    </row>
    <row r="125" spans="1:4" x14ac:dyDescent="0.3">
      <c r="A125">
        <v>925</v>
      </c>
      <c r="B125">
        <v>44</v>
      </c>
      <c r="C125">
        <v>5</v>
      </c>
      <c r="D125">
        <v>84</v>
      </c>
    </row>
    <row r="126" spans="1:4" x14ac:dyDescent="0.3">
      <c r="A126">
        <v>929</v>
      </c>
      <c r="B126">
        <v>35</v>
      </c>
      <c r="C126">
        <v>2</v>
      </c>
      <c r="D126">
        <v>97</v>
      </c>
    </row>
    <row r="127" spans="1:4" x14ac:dyDescent="0.3">
      <c r="A127">
        <v>828</v>
      </c>
      <c r="B127">
        <v>11</v>
      </c>
      <c r="C127">
        <v>4</v>
      </c>
      <c r="D127">
        <v>79</v>
      </c>
    </row>
    <row r="128" spans="1:4" x14ac:dyDescent="0.3">
      <c r="A128">
        <v>987</v>
      </c>
      <c r="B128">
        <v>34</v>
      </c>
      <c r="C128">
        <v>2</v>
      </c>
      <c r="D128">
        <v>70</v>
      </c>
    </row>
    <row r="129" spans="1:4" x14ac:dyDescent="0.3">
      <c r="A129">
        <v>729</v>
      </c>
      <c r="B129">
        <v>16</v>
      </c>
      <c r="C129">
        <v>5</v>
      </c>
      <c r="D129">
        <v>35</v>
      </c>
    </row>
    <row r="130" spans="1:4" x14ac:dyDescent="0.3">
      <c r="A130">
        <v>632</v>
      </c>
      <c r="B130">
        <v>9</v>
      </c>
      <c r="C130">
        <v>4</v>
      </c>
      <c r="D130">
        <v>80</v>
      </c>
    </row>
    <row r="131" spans="1:4" x14ac:dyDescent="0.3">
      <c r="A131">
        <v>951</v>
      </c>
      <c r="B131">
        <v>32</v>
      </c>
      <c r="C131">
        <v>4</v>
      </c>
      <c r="D131">
        <v>112</v>
      </c>
    </row>
    <row r="132" spans="1:4" x14ac:dyDescent="0.3">
      <c r="A132">
        <v>906</v>
      </c>
      <c r="B132">
        <v>15</v>
      </c>
      <c r="C132">
        <v>2</v>
      </c>
      <c r="D132">
        <v>92</v>
      </c>
    </row>
    <row r="133" spans="1:4" x14ac:dyDescent="0.3">
      <c r="A133">
        <v>175</v>
      </c>
      <c r="B133">
        <v>12</v>
      </c>
      <c r="C133">
        <v>2</v>
      </c>
      <c r="D133">
        <v>79</v>
      </c>
    </row>
    <row r="134" spans="1:4" x14ac:dyDescent="0.3">
      <c r="A134">
        <v>23</v>
      </c>
      <c r="B134">
        <v>33</v>
      </c>
      <c r="C134">
        <v>1</v>
      </c>
      <c r="D134">
        <v>116</v>
      </c>
    </row>
    <row r="135" spans="1:4" x14ac:dyDescent="0.3">
      <c r="A135">
        <v>725</v>
      </c>
      <c r="B135">
        <v>45</v>
      </c>
      <c r="C135">
        <v>5</v>
      </c>
      <c r="D135">
        <v>38</v>
      </c>
    </row>
    <row r="136" spans="1:4" x14ac:dyDescent="0.3">
      <c r="A136">
        <v>917</v>
      </c>
      <c r="B136">
        <v>14</v>
      </c>
      <c r="C136">
        <v>1</v>
      </c>
      <c r="D136">
        <v>116</v>
      </c>
    </row>
    <row r="137" spans="1:4" x14ac:dyDescent="0.3">
      <c r="A137">
        <v>235</v>
      </c>
      <c r="B137">
        <v>8</v>
      </c>
      <c r="C137">
        <v>4</v>
      </c>
      <c r="D137">
        <v>112</v>
      </c>
    </row>
    <row r="138" spans="1:4" x14ac:dyDescent="0.3">
      <c r="A138">
        <v>13</v>
      </c>
      <c r="B138">
        <v>8</v>
      </c>
      <c r="C138">
        <v>2</v>
      </c>
      <c r="D138">
        <v>75</v>
      </c>
    </row>
    <row r="139" spans="1:4" x14ac:dyDescent="0.3">
      <c r="A139">
        <v>101</v>
      </c>
      <c r="B139">
        <v>27</v>
      </c>
      <c r="C139">
        <v>4</v>
      </c>
      <c r="D139">
        <v>28</v>
      </c>
    </row>
    <row r="140" spans="1:4" x14ac:dyDescent="0.3">
      <c r="A140">
        <v>929</v>
      </c>
      <c r="B140">
        <v>12</v>
      </c>
      <c r="C140">
        <v>4</v>
      </c>
      <c r="D140">
        <v>77</v>
      </c>
    </row>
    <row r="141" spans="1:4" x14ac:dyDescent="0.3">
      <c r="A141">
        <v>536</v>
      </c>
      <c r="B141">
        <v>1</v>
      </c>
      <c r="C141">
        <v>3</v>
      </c>
      <c r="D141">
        <v>67</v>
      </c>
    </row>
    <row r="142" spans="1:4" x14ac:dyDescent="0.3">
      <c r="A142">
        <v>876</v>
      </c>
      <c r="B142">
        <v>43</v>
      </c>
      <c r="C142">
        <v>3</v>
      </c>
      <c r="D142">
        <v>79</v>
      </c>
    </row>
    <row r="143" spans="1:4" x14ac:dyDescent="0.3">
      <c r="A143">
        <v>523</v>
      </c>
      <c r="B143">
        <v>40</v>
      </c>
      <c r="C143">
        <v>4</v>
      </c>
      <c r="D143">
        <v>66</v>
      </c>
    </row>
    <row r="144" spans="1:4" x14ac:dyDescent="0.3">
      <c r="A144">
        <v>785</v>
      </c>
      <c r="B144">
        <v>42</v>
      </c>
      <c r="C144">
        <v>2</v>
      </c>
      <c r="D144">
        <v>46</v>
      </c>
    </row>
    <row r="145" spans="1:4" x14ac:dyDescent="0.3">
      <c r="A145">
        <v>452</v>
      </c>
      <c r="B145">
        <v>11</v>
      </c>
      <c r="C145">
        <v>4</v>
      </c>
      <c r="D145">
        <v>70</v>
      </c>
    </row>
    <row r="146" spans="1:4" x14ac:dyDescent="0.3">
      <c r="A146">
        <v>431</v>
      </c>
      <c r="B146">
        <v>39</v>
      </c>
      <c r="C146">
        <v>3</v>
      </c>
      <c r="D146">
        <v>101</v>
      </c>
    </row>
    <row r="147" spans="1:4" x14ac:dyDescent="0.3">
      <c r="A147">
        <v>793</v>
      </c>
      <c r="B147">
        <v>43</v>
      </c>
      <c r="C147">
        <v>2</v>
      </c>
      <c r="D147">
        <v>39</v>
      </c>
    </row>
    <row r="148" spans="1:4" x14ac:dyDescent="0.3">
      <c r="A148">
        <v>606</v>
      </c>
      <c r="B148">
        <v>31</v>
      </c>
      <c r="C148">
        <v>4</v>
      </c>
      <c r="D148">
        <v>80</v>
      </c>
    </row>
    <row r="149" spans="1:4" x14ac:dyDescent="0.3">
      <c r="A149">
        <v>713</v>
      </c>
      <c r="B149">
        <v>17</v>
      </c>
      <c r="C149">
        <v>5</v>
      </c>
      <c r="D149">
        <v>82</v>
      </c>
    </row>
    <row r="150" spans="1:4" x14ac:dyDescent="0.3">
      <c r="A150">
        <v>533</v>
      </c>
      <c r="B150">
        <v>33</v>
      </c>
      <c r="C150">
        <v>5</v>
      </c>
      <c r="D150">
        <v>34</v>
      </c>
    </row>
    <row r="151" spans="1:4" x14ac:dyDescent="0.3">
      <c r="A151">
        <v>852</v>
      </c>
      <c r="B151">
        <v>32</v>
      </c>
      <c r="C151">
        <v>4</v>
      </c>
      <c r="D151">
        <v>106</v>
      </c>
    </row>
    <row r="152" spans="1:4" x14ac:dyDescent="0.3">
      <c r="A152">
        <v>979</v>
      </c>
      <c r="B152">
        <v>29</v>
      </c>
      <c r="C152">
        <v>2</v>
      </c>
      <c r="D152">
        <v>74</v>
      </c>
    </row>
    <row r="153" spans="1:4" x14ac:dyDescent="0.3">
      <c r="A153">
        <v>723</v>
      </c>
      <c r="B153">
        <v>21</v>
      </c>
      <c r="C153">
        <v>4</v>
      </c>
      <c r="D153">
        <v>15</v>
      </c>
    </row>
    <row r="154" spans="1:4" x14ac:dyDescent="0.3">
      <c r="A154">
        <v>652</v>
      </c>
      <c r="B154">
        <v>21</v>
      </c>
      <c r="C154">
        <v>4</v>
      </c>
      <c r="D154">
        <v>27</v>
      </c>
    </row>
    <row r="155" spans="1:4" x14ac:dyDescent="0.3">
      <c r="A155">
        <v>293</v>
      </c>
      <c r="B155">
        <v>40</v>
      </c>
      <c r="C155">
        <v>3</v>
      </c>
      <c r="D155">
        <v>19</v>
      </c>
    </row>
    <row r="156" spans="1:4" x14ac:dyDescent="0.3">
      <c r="A156">
        <v>810</v>
      </c>
      <c r="B156">
        <v>23</v>
      </c>
      <c r="C156">
        <v>5</v>
      </c>
      <c r="D156">
        <v>101</v>
      </c>
    </row>
    <row r="157" spans="1:4" x14ac:dyDescent="0.3">
      <c r="A157">
        <v>913</v>
      </c>
      <c r="B157">
        <v>6</v>
      </c>
      <c r="C157">
        <v>3</v>
      </c>
      <c r="D157">
        <v>20</v>
      </c>
    </row>
    <row r="158" spans="1:4" x14ac:dyDescent="0.3">
      <c r="A158">
        <v>101</v>
      </c>
      <c r="B158">
        <v>22</v>
      </c>
      <c r="C158">
        <v>3</v>
      </c>
      <c r="D158">
        <v>106</v>
      </c>
    </row>
    <row r="159" spans="1:4" x14ac:dyDescent="0.3">
      <c r="A159">
        <v>502</v>
      </c>
      <c r="B159">
        <v>50</v>
      </c>
      <c r="C159">
        <v>4</v>
      </c>
      <c r="D159">
        <v>74</v>
      </c>
    </row>
    <row r="160" spans="1:4" x14ac:dyDescent="0.3">
      <c r="A160">
        <v>304</v>
      </c>
      <c r="B160">
        <v>38</v>
      </c>
      <c r="C160">
        <v>3</v>
      </c>
      <c r="D160">
        <v>86</v>
      </c>
    </row>
    <row r="161" spans="1:4" x14ac:dyDescent="0.3">
      <c r="A161">
        <v>871</v>
      </c>
      <c r="B161">
        <v>37</v>
      </c>
      <c r="C161">
        <v>5</v>
      </c>
      <c r="D161">
        <v>110</v>
      </c>
    </row>
    <row r="162" spans="1:4" x14ac:dyDescent="0.3">
      <c r="A162">
        <v>540</v>
      </c>
      <c r="B162">
        <v>45</v>
      </c>
      <c r="C162">
        <v>3</v>
      </c>
      <c r="D162">
        <v>93</v>
      </c>
    </row>
    <row r="163" spans="1:4" x14ac:dyDescent="0.3">
      <c r="A163">
        <v>553</v>
      </c>
      <c r="B163">
        <v>8</v>
      </c>
      <c r="C163">
        <v>5</v>
      </c>
      <c r="D163">
        <v>74</v>
      </c>
    </row>
    <row r="164" spans="1:4" x14ac:dyDescent="0.3">
      <c r="A164">
        <v>355</v>
      </c>
      <c r="B164">
        <v>41</v>
      </c>
      <c r="C164">
        <v>3</v>
      </c>
      <c r="D164">
        <v>61</v>
      </c>
    </row>
    <row r="165" spans="1:4" x14ac:dyDescent="0.3">
      <c r="A165">
        <v>303</v>
      </c>
      <c r="B165">
        <v>49</v>
      </c>
      <c r="C165">
        <v>5</v>
      </c>
      <c r="D165">
        <v>76</v>
      </c>
    </row>
    <row r="166" spans="1:4" x14ac:dyDescent="0.3">
      <c r="A166">
        <v>496</v>
      </c>
      <c r="B166">
        <v>35</v>
      </c>
      <c r="C166">
        <v>3</v>
      </c>
      <c r="D166">
        <v>91</v>
      </c>
    </row>
    <row r="167" spans="1:4" x14ac:dyDescent="0.3">
      <c r="A167">
        <v>658</v>
      </c>
      <c r="B167">
        <v>11</v>
      </c>
      <c r="C167">
        <v>3</v>
      </c>
      <c r="D167">
        <v>114</v>
      </c>
    </row>
    <row r="168" spans="1:4" x14ac:dyDescent="0.3">
      <c r="A168">
        <v>768</v>
      </c>
      <c r="B168">
        <v>24</v>
      </c>
      <c r="C168">
        <v>2</v>
      </c>
      <c r="D168">
        <v>87</v>
      </c>
    </row>
    <row r="169" spans="1:4" x14ac:dyDescent="0.3">
      <c r="A169">
        <v>974</v>
      </c>
      <c r="B169">
        <v>49</v>
      </c>
      <c r="C169">
        <v>5</v>
      </c>
      <c r="D169">
        <v>40</v>
      </c>
    </row>
    <row r="170" spans="1:4" x14ac:dyDescent="0.3">
      <c r="A170">
        <v>227</v>
      </c>
      <c r="B170">
        <v>21</v>
      </c>
      <c r="C170">
        <v>5</v>
      </c>
      <c r="D170">
        <v>100</v>
      </c>
    </row>
    <row r="171" spans="1:4" x14ac:dyDescent="0.3">
      <c r="A171">
        <v>236</v>
      </c>
      <c r="B171">
        <v>2</v>
      </c>
      <c r="C171">
        <v>5</v>
      </c>
      <c r="D171">
        <v>26</v>
      </c>
    </row>
    <row r="172" spans="1:4" x14ac:dyDescent="0.3">
      <c r="A172">
        <v>873</v>
      </c>
      <c r="B172">
        <v>40</v>
      </c>
      <c r="C172">
        <v>1</v>
      </c>
      <c r="D172">
        <v>64</v>
      </c>
    </row>
    <row r="173" spans="1:4" x14ac:dyDescent="0.3">
      <c r="A173">
        <v>892</v>
      </c>
      <c r="B173">
        <v>19</v>
      </c>
      <c r="C173">
        <v>3</v>
      </c>
      <c r="D173">
        <v>119</v>
      </c>
    </row>
    <row r="174" spans="1:4" x14ac:dyDescent="0.3">
      <c r="A174">
        <v>455</v>
      </c>
      <c r="B174">
        <v>39</v>
      </c>
      <c r="C174">
        <v>5</v>
      </c>
      <c r="D174">
        <v>102</v>
      </c>
    </row>
    <row r="175" spans="1:4" x14ac:dyDescent="0.3">
      <c r="A175">
        <v>13</v>
      </c>
      <c r="B175">
        <v>28</v>
      </c>
      <c r="C175">
        <v>1</v>
      </c>
      <c r="D175">
        <v>45</v>
      </c>
    </row>
    <row r="176" spans="1:4" x14ac:dyDescent="0.3">
      <c r="A176">
        <v>210</v>
      </c>
      <c r="B176">
        <v>17</v>
      </c>
      <c r="C176">
        <v>2</v>
      </c>
      <c r="D176">
        <v>110</v>
      </c>
    </row>
    <row r="177" spans="1:4" x14ac:dyDescent="0.3">
      <c r="A177">
        <v>741</v>
      </c>
      <c r="B177">
        <v>6</v>
      </c>
      <c r="C177">
        <v>5</v>
      </c>
      <c r="D177">
        <v>35</v>
      </c>
    </row>
    <row r="178" spans="1:4" x14ac:dyDescent="0.3">
      <c r="A178">
        <v>397</v>
      </c>
      <c r="B178">
        <v>19</v>
      </c>
      <c r="C178">
        <v>5</v>
      </c>
      <c r="D178">
        <v>62</v>
      </c>
    </row>
    <row r="179" spans="1:4" x14ac:dyDescent="0.3">
      <c r="A179">
        <v>100</v>
      </c>
      <c r="B179">
        <v>38</v>
      </c>
      <c r="C179">
        <v>1</v>
      </c>
      <c r="D179">
        <v>26</v>
      </c>
    </row>
    <row r="180" spans="1:4" x14ac:dyDescent="0.3">
      <c r="A180">
        <v>31</v>
      </c>
      <c r="B180">
        <v>28</v>
      </c>
      <c r="C180">
        <v>3</v>
      </c>
      <c r="D180">
        <v>95</v>
      </c>
    </row>
    <row r="181" spans="1:4" x14ac:dyDescent="0.3">
      <c r="A181">
        <v>898</v>
      </c>
      <c r="B181">
        <v>2</v>
      </c>
      <c r="C181">
        <v>2</v>
      </c>
      <c r="D181">
        <v>34</v>
      </c>
    </row>
    <row r="182" spans="1:4" x14ac:dyDescent="0.3">
      <c r="A182">
        <v>528</v>
      </c>
      <c r="B182">
        <v>38</v>
      </c>
      <c r="C182">
        <v>5</v>
      </c>
      <c r="D182">
        <v>11</v>
      </c>
    </row>
    <row r="183" spans="1:4" x14ac:dyDescent="0.3">
      <c r="A183">
        <v>649</v>
      </c>
      <c r="B183">
        <v>37</v>
      </c>
      <c r="C183">
        <v>3</v>
      </c>
      <c r="D183">
        <v>95</v>
      </c>
    </row>
    <row r="184" spans="1:4" x14ac:dyDescent="0.3">
      <c r="A184">
        <v>329</v>
      </c>
      <c r="B184">
        <v>4</v>
      </c>
      <c r="C184">
        <v>2</v>
      </c>
      <c r="D184">
        <v>14</v>
      </c>
    </row>
    <row r="185" spans="1:4" x14ac:dyDescent="0.3">
      <c r="A185">
        <v>166</v>
      </c>
      <c r="B185">
        <v>22</v>
      </c>
      <c r="C185">
        <v>4</v>
      </c>
      <c r="D185">
        <v>13</v>
      </c>
    </row>
    <row r="186" spans="1:4" x14ac:dyDescent="0.3">
      <c r="A186">
        <v>459</v>
      </c>
      <c r="B186">
        <v>26</v>
      </c>
      <c r="C186">
        <v>4</v>
      </c>
      <c r="D186">
        <v>45</v>
      </c>
    </row>
    <row r="187" spans="1:4" x14ac:dyDescent="0.3">
      <c r="A187">
        <v>822</v>
      </c>
      <c r="B187">
        <v>49</v>
      </c>
      <c r="C187">
        <v>2</v>
      </c>
      <c r="D187">
        <v>15</v>
      </c>
    </row>
    <row r="188" spans="1:4" x14ac:dyDescent="0.3">
      <c r="A188">
        <v>952</v>
      </c>
      <c r="B188">
        <v>43</v>
      </c>
      <c r="C188">
        <v>1</v>
      </c>
      <c r="D188">
        <v>30</v>
      </c>
    </row>
    <row r="189" spans="1:4" x14ac:dyDescent="0.3">
      <c r="A189">
        <v>982</v>
      </c>
      <c r="B189">
        <v>36</v>
      </c>
      <c r="C189">
        <v>2</v>
      </c>
      <c r="D189">
        <v>86</v>
      </c>
    </row>
    <row r="190" spans="1:4" x14ac:dyDescent="0.3">
      <c r="A190">
        <v>993</v>
      </c>
      <c r="B190">
        <v>13</v>
      </c>
      <c r="C190">
        <v>2</v>
      </c>
      <c r="D190">
        <v>110</v>
      </c>
    </row>
    <row r="191" spans="1:4" x14ac:dyDescent="0.3">
      <c r="A191">
        <v>100</v>
      </c>
      <c r="B191">
        <v>32</v>
      </c>
      <c r="C191">
        <v>1</v>
      </c>
      <c r="D191">
        <v>98</v>
      </c>
    </row>
    <row r="192" spans="1:4" x14ac:dyDescent="0.3">
      <c r="A192">
        <v>621</v>
      </c>
      <c r="B192">
        <v>17</v>
      </c>
      <c r="C192">
        <v>1</v>
      </c>
      <c r="D192">
        <v>35</v>
      </c>
    </row>
    <row r="193" spans="1:4" x14ac:dyDescent="0.3">
      <c r="A193">
        <v>855</v>
      </c>
      <c r="B193">
        <v>41</v>
      </c>
      <c r="C193">
        <v>3</v>
      </c>
      <c r="D193">
        <v>64</v>
      </c>
    </row>
    <row r="194" spans="1:4" x14ac:dyDescent="0.3">
      <c r="A194">
        <v>173</v>
      </c>
      <c r="B194">
        <v>36</v>
      </c>
      <c r="C194">
        <v>3</v>
      </c>
      <c r="D194">
        <v>48</v>
      </c>
    </row>
    <row r="195" spans="1:4" x14ac:dyDescent="0.3">
      <c r="A195">
        <v>749</v>
      </c>
      <c r="B195">
        <v>46</v>
      </c>
      <c r="C195">
        <v>1</v>
      </c>
      <c r="D195">
        <v>93</v>
      </c>
    </row>
    <row r="196" spans="1:4" x14ac:dyDescent="0.3">
      <c r="A196">
        <v>162</v>
      </c>
      <c r="B196">
        <v>19</v>
      </c>
      <c r="C196">
        <v>4</v>
      </c>
      <c r="D196">
        <v>42</v>
      </c>
    </row>
    <row r="197" spans="1:4" x14ac:dyDescent="0.3">
      <c r="A197">
        <v>905</v>
      </c>
      <c r="B197">
        <v>35</v>
      </c>
      <c r="C197">
        <v>4</v>
      </c>
      <c r="D197">
        <v>23</v>
      </c>
    </row>
    <row r="198" spans="1:4" x14ac:dyDescent="0.3">
      <c r="A198">
        <v>728</v>
      </c>
      <c r="B198">
        <v>46</v>
      </c>
      <c r="C198">
        <v>2</v>
      </c>
      <c r="D198">
        <v>65</v>
      </c>
    </row>
    <row r="199" spans="1:4" x14ac:dyDescent="0.3">
      <c r="A199">
        <v>776</v>
      </c>
      <c r="B199">
        <v>40</v>
      </c>
      <c r="C199">
        <v>5</v>
      </c>
      <c r="D199">
        <v>109</v>
      </c>
    </row>
    <row r="200" spans="1:4" x14ac:dyDescent="0.3">
      <c r="A200">
        <v>263</v>
      </c>
      <c r="B200">
        <v>28</v>
      </c>
      <c r="C200">
        <v>2</v>
      </c>
      <c r="D200">
        <v>90</v>
      </c>
    </row>
    <row r="201" spans="1:4" x14ac:dyDescent="0.3">
      <c r="A201">
        <v>804</v>
      </c>
      <c r="B201">
        <v>1</v>
      </c>
      <c r="C201">
        <v>2</v>
      </c>
      <c r="D201">
        <v>30</v>
      </c>
    </row>
    <row r="202" spans="1:4" x14ac:dyDescent="0.3">
      <c r="A202">
        <v>274</v>
      </c>
      <c r="B202">
        <v>42</v>
      </c>
      <c r="C202">
        <v>5</v>
      </c>
      <c r="D202">
        <v>55</v>
      </c>
    </row>
    <row r="203" spans="1:4" x14ac:dyDescent="0.3">
      <c r="A203">
        <v>3</v>
      </c>
      <c r="B203">
        <v>18</v>
      </c>
      <c r="C203">
        <v>1</v>
      </c>
      <c r="D203">
        <v>25</v>
      </c>
    </row>
    <row r="204" spans="1:4" x14ac:dyDescent="0.3">
      <c r="A204">
        <v>28</v>
      </c>
      <c r="B204">
        <v>48</v>
      </c>
      <c r="C204">
        <v>4</v>
      </c>
      <c r="D204">
        <v>119</v>
      </c>
    </row>
    <row r="205" spans="1:4" x14ac:dyDescent="0.3">
      <c r="A205">
        <v>326</v>
      </c>
      <c r="B205">
        <v>40</v>
      </c>
      <c r="C205">
        <v>2</v>
      </c>
      <c r="D205">
        <v>25</v>
      </c>
    </row>
    <row r="206" spans="1:4" x14ac:dyDescent="0.3">
      <c r="A206">
        <v>940</v>
      </c>
      <c r="B206">
        <v>33</v>
      </c>
      <c r="C206">
        <v>5</v>
      </c>
      <c r="D206">
        <v>93</v>
      </c>
    </row>
    <row r="207" spans="1:4" x14ac:dyDescent="0.3">
      <c r="A207">
        <v>149</v>
      </c>
      <c r="B207">
        <v>12</v>
      </c>
      <c r="C207">
        <v>3</v>
      </c>
      <c r="D207">
        <v>38</v>
      </c>
    </row>
    <row r="208" spans="1:4" x14ac:dyDescent="0.3">
      <c r="A208">
        <v>540</v>
      </c>
      <c r="B208">
        <v>8</v>
      </c>
      <c r="C208">
        <v>2</v>
      </c>
      <c r="D208">
        <v>101</v>
      </c>
    </row>
    <row r="209" spans="1:4" x14ac:dyDescent="0.3">
      <c r="A209">
        <v>488</v>
      </c>
      <c r="B209">
        <v>24</v>
      </c>
      <c r="C209">
        <v>4</v>
      </c>
      <c r="D209">
        <v>17</v>
      </c>
    </row>
    <row r="210" spans="1:4" x14ac:dyDescent="0.3">
      <c r="A210">
        <v>822</v>
      </c>
      <c r="B210">
        <v>16</v>
      </c>
      <c r="C210">
        <v>1</v>
      </c>
      <c r="D210">
        <v>97</v>
      </c>
    </row>
    <row r="211" spans="1:4" x14ac:dyDescent="0.3">
      <c r="A211">
        <v>438</v>
      </c>
      <c r="B211">
        <v>50</v>
      </c>
      <c r="C211">
        <v>2</v>
      </c>
      <c r="D211">
        <v>12</v>
      </c>
    </row>
    <row r="212" spans="1:4" x14ac:dyDescent="0.3">
      <c r="A212">
        <v>65</v>
      </c>
      <c r="B212">
        <v>4</v>
      </c>
      <c r="C212">
        <v>2</v>
      </c>
      <c r="D212">
        <v>98</v>
      </c>
    </row>
    <row r="213" spans="1:4" x14ac:dyDescent="0.3">
      <c r="A213">
        <v>356</v>
      </c>
      <c r="B213">
        <v>38</v>
      </c>
      <c r="C213">
        <v>5</v>
      </c>
      <c r="D213">
        <v>28</v>
      </c>
    </row>
    <row r="214" spans="1:4" x14ac:dyDescent="0.3">
      <c r="A214">
        <v>533</v>
      </c>
      <c r="B214">
        <v>44</v>
      </c>
      <c r="C214">
        <v>3</v>
      </c>
      <c r="D214">
        <v>106</v>
      </c>
    </row>
    <row r="215" spans="1:4" x14ac:dyDescent="0.3">
      <c r="A215">
        <v>252</v>
      </c>
      <c r="B215">
        <v>27</v>
      </c>
      <c r="C215">
        <v>3</v>
      </c>
      <c r="D215">
        <v>75</v>
      </c>
    </row>
    <row r="216" spans="1:4" x14ac:dyDescent="0.3">
      <c r="A216">
        <v>235</v>
      </c>
      <c r="B216">
        <v>9</v>
      </c>
      <c r="C216">
        <v>1</v>
      </c>
      <c r="D216">
        <v>88</v>
      </c>
    </row>
    <row r="217" spans="1:4" x14ac:dyDescent="0.3">
      <c r="A217">
        <v>227</v>
      </c>
      <c r="B217">
        <v>47</v>
      </c>
      <c r="C217">
        <v>4</v>
      </c>
      <c r="D217">
        <v>95</v>
      </c>
    </row>
    <row r="218" spans="1:4" x14ac:dyDescent="0.3">
      <c r="A218">
        <v>525</v>
      </c>
      <c r="B218">
        <v>16</v>
      </c>
      <c r="C218">
        <v>1</v>
      </c>
      <c r="D218">
        <v>83</v>
      </c>
    </row>
    <row r="219" spans="1:4" x14ac:dyDescent="0.3">
      <c r="A219">
        <v>313</v>
      </c>
      <c r="B219">
        <v>12</v>
      </c>
      <c r="C219">
        <v>2</v>
      </c>
      <c r="D219">
        <v>91</v>
      </c>
    </row>
    <row r="220" spans="1:4" x14ac:dyDescent="0.3">
      <c r="A220">
        <v>49</v>
      </c>
      <c r="B220">
        <v>31</v>
      </c>
      <c r="C220">
        <v>2</v>
      </c>
      <c r="D220">
        <v>31</v>
      </c>
    </row>
    <row r="221" spans="1:4" x14ac:dyDescent="0.3">
      <c r="A221">
        <v>118</v>
      </c>
      <c r="B221">
        <v>24</v>
      </c>
      <c r="C221">
        <v>3</v>
      </c>
      <c r="D221">
        <v>55</v>
      </c>
    </row>
    <row r="222" spans="1:4" x14ac:dyDescent="0.3">
      <c r="A222">
        <v>54</v>
      </c>
      <c r="B222">
        <v>14</v>
      </c>
      <c r="C222">
        <v>4</v>
      </c>
      <c r="D222">
        <v>100</v>
      </c>
    </row>
    <row r="223" spans="1:4" x14ac:dyDescent="0.3">
      <c r="A223">
        <v>650</v>
      </c>
      <c r="B223">
        <v>45</v>
      </c>
      <c r="C223">
        <v>5</v>
      </c>
      <c r="D223">
        <v>22</v>
      </c>
    </row>
    <row r="224" spans="1:4" x14ac:dyDescent="0.3">
      <c r="A224">
        <v>565</v>
      </c>
      <c r="B224">
        <v>25</v>
      </c>
      <c r="C224">
        <v>4</v>
      </c>
      <c r="D224">
        <v>42</v>
      </c>
    </row>
    <row r="225" spans="1:4" x14ac:dyDescent="0.3">
      <c r="A225">
        <v>44</v>
      </c>
      <c r="B225">
        <v>34</v>
      </c>
      <c r="C225">
        <v>2</v>
      </c>
      <c r="D225">
        <v>14</v>
      </c>
    </row>
    <row r="226" spans="1:4" x14ac:dyDescent="0.3">
      <c r="A226">
        <v>815</v>
      </c>
      <c r="B226">
        <v>3</v>
      </c>
      <c r="C226">
        <v>5</v>
      </c>
      <c r="D226">
        <v>99</v>
      </c>
    </row>
    <row r="227" spans="1:4" x14ac:dyDescent="0.3">
      <c r="A227">
        <v>53</v>
      </c>
      <c r="B227">
        <v>24</v>
      </c>
      <c r="C227">
        <v>4</v>
      </c>
      <c r="D227">
        <v>86</v>
      </c>
    </row>
    <row r="228" spans="1:4" x14ac:dyDescent="0.3">
      <c r="A228">
        <v>586</v>
      </c>
      <c r="B228">
        <v>42</v>
      </c>
      <c r="C228">
        <v>4</v>
      </c>
      <c r="D228">
        <v>36</v>
      </c>
    </row>
    <row r="229" spans="1:4" x14ac:dyDescent="0.3">
      <c r="A229">
        <v>558</v>
      </c>
      <c r="B229">
        <v>9</v>
      </c>
      <c r="C229">
        <v>5</v>
      </c>
      <c r="D229">
        <v>87</v>
      </c>
    </row>
    <row r="230" spans="1:4" x14ac:dyDescent="0.3">
      <c r="A230">
        <v>525</v>
      </c>
      <c r="B230">
        <v>26</v>
      </c>
      <c r="C230">
        <v>2</v>
      </c>
      <c r="D230">
        <v>33</v>
      </c>
    </row>
    <row r="231" spans="1:4" x14ac:dyDescent="0.3">
      <c r="A231">
        <v>677</v>
      </c>
      <c r="B231">
        <v>20</v>
      </c>
      <c r="C231">
        <v>4</v>
      </c>
      <c r="D231">
        <v>76</v>
      </c>
    </row>
    <row r="232" spans="1:4" x14ac:dyDescent="0.3">
      <c r="A232">
        <v>102</v>
      </c>
      <c r="B232">
        <v>40</v>
      </c>
      <c r="C232">
        <v>5</v>
      </c>
      <c r="D232">
        <v>72</v>
      </c>
    </row>
    <row r="233" spans="1:4" x14ac:dyDescent="0.3">
      <c r="A233">
        <v>792</v>
      </c>
      <c r="B233">
        <v>10</v>
      </c>
      <c r="C233">
        <v>2</v>
      </c>
      <c r="D233">
        <v>103</v>
      </c>
    </row>
    <row r="234" spans="1:4" x14ac:dyDescent="0.3">
      <c r="A234">
        <v>770</v>
      </c>
      <c r="B234">
        <v>19</v>
      </c>
      <c r="C234">
        <v>5</v>
      </c>
      <c r="D234">
        <v>108</v>
      </c>
    </row>
    <row r="235" spans="1:4" x14ac:dyDescent="0.3">
      <c r="A235">
        <v>982</v>
      </c>
      <c r="B235">
        <v>3</v>
      </c>
      <c r="C235">
        <v>5</v>
      </c>
      <c r="D235">
        <v>57</v>
      </c>
    </row>
    <row r="236" spans="1:4" x14ac:dyDescent="0.3">
      <c r="A236">
        <v>849</v>
      </c>
      <c r="B236">
        <v>24</v>
      </c>
      <c r="C236">
        <v>4</v>
      </c>
      <c r="D236">
        <v>72</v>
      </c>
    </row>
    <row r="237" spans="1:4" x14ac:dyDescent="0.3">
      <c r="A237">
        <v>868</v>
      </c>
      <c r="B237">
        <v>5</v>
      </c>
      <c r="C237">
        <v>2</v>
      </c>
      <c r="D237">
        <v>87</v>
      </c>
    </row>
    <row r="238" spans="1:4" x14ac:dyDescent="0.3">
      <c r="A238">
        <v>398</v>
      </c>
      <c r="B238">
        <v>3</v>
      </c>
      <c r="C238">
        <v>4</v>
      </c>
      <c r="D238">
        <v>21</v>
      </c>
    </row>
    <row r="239" spans="1:4" x14ac:dyDescent="0.3">
      <c r="A239">
        <v>138</v>
      </c>
      <c r="B239">
        <v>27</v>
      </c>
      <c r="C239">
        <v>1</v>
      </c>
      <c r="D239">
        <v>37</v>
      </c>
    </row>
    <row r="240" spans="1:4" x14ac:dyDescent="0.3">
      <c r="A240">
        <v>675</v>
      </c>
      <c r="B240">
        <v>16</v>
      </c>
      <c r="C240">
        <v>1</v>
      </c>
      <c r="D240">
        <v>53</v>
      </c>
    </row>
    <row r="241" spans="1:4" x14ac:dyDescent="0.3">
      <c r="A241">
        <v>921</v>
      </c>
      <c r="B241">
        <v>49</v>
      </c>
      <c r="C241">
        <v>2</v>
      </c>
      <c r="D241">
        <v>102</v>
      </c>
    </row>
    <row r="242" spans="1:4" x14ac:dyDescent="0.3">
      <c r="A242">
        <v>387</v>
      </c>
      <c r="B242">
        <v>15</v>
      </c>
      <c r="C242">
        <v>5</v>
      </c>
      <c r="D242">
        <v>52</v>
      </c>
    </row>
    <row r="243" spans="1:4" x14ac:dyDescent="0.3">
      <c r="A243">
        <v>111</v>
      </c>
      <c r="B243">
        <v>35</v>
      </c>
      <c r="C243">
        <v>4</v>
      </c>
      <c r="D243">
        <v>26</v>
      </c>
    </row>
    <row r="244" spans="1:4" x14ac:dyDescent="0.3">
      <c r="A244">
        <v>614</v>
      </c>
      <c r="B244">
        <v>12</v>
      </c>
      <c r="C244">
        <v>4</v>
      </c>
      <c r="D244">
        <v>49</v>
      </c>
    </row>
    <row r="245" spans="1:4" x14ac:dyDescent="0.3">
      <c r="A245">
        <v>17</v>
      </c>
      <c r="B245">
        <v>41</v>
      </c>
      <c r="C245">
        <v>2</v>
      </c>
      <c r="D245">
        <v>58</v>
      </c>
    </row>
    <row r="246" spans="1:4" x14ac:dyDescent="0.3">
      <c r="A246">
        <v>780</v>
      </c>
      <c r="B246">
        <v>44</v>
      </c>
      <c r="C246">
        <v>2</v>
      </c>
      <c r="D246">
        <v>94</v>
      </c>
    </row>
    <row r="247" spans="1:4" x14ac:dyDescent="0.3">
      <c r="A247">
        <v>182</v>
      </c>
      <c r="B247">
        <v>26</v>
      </c>
      <c r="C247">
        <v>1</v>
      </c>
      <c r="D247">
        <v>66</v>
      </c>
    </row>
    <row r="248" spans="1:4" x14ac:dyDescent="0.3">
      <c r="A248">
        <v>884</v>
      </c>
      <c r="B248">
        <v>47</v>
      </c>
      <c r="C248">
        <v>3</v>
      </c>
      <c r="D248">
        <v>96</v>
      </c>
    </row>
    <row r="249" spans="1:4" x14ac:dyDescent="0.3">
      <c r="A249">
        <v>536</v>
      </c>
      <c r="B249">
        <v>34</v>
      </c>
      <c r="C249">
        <v>2</v>
      </c>
      <c r="D249">
        <v>93</v>
      </c>
    </row>
    <row r="250" spans="1:4" x14ac:dyDescent="0.3">
      <c r="A250">
        <v>541</v>
      </c>
      <c r="B250">
        <v>23</v>
      </c>
      <c r="C250">
        <v>3</v>
      </c>
      <c r="D250">
        <v>73</v>
      </c>
    </row>
    <row r="251" spans="1:4" x14ac:dyDescent="0.3">
      <c r="A251">
        <v>171</v>
      </c>
      <c r="B251">
        <v>31</v>
      </c>
      <c r="C251">
        <v>2</v>
      </c>
      <c r="D251">
        <v>84</v>
      </c>
    </row>
    <row r="252" spans="1:4" x14ac:dyDescent="0.3">
      <c r="A252">
        <v>409</v>
      </c>
      <c r="B252">
        <v>50</v>
      </c>
      <c r="C252">
        <v>5</v>
      </c>
      <c r="D252">
        <v>66</v>
      </c>
    </row>
    <row r="253" spans="1:4" x14ac:dyDescent="0.3">
      <c r="A253">
        <v>740</v>
      </c>
      <c r="B253">
        <v>20</v>
      </c>
      <c r="C253">
        <v>5</v>
      </c>
      <c r="D253">
        <v>107</v>
      </c>
    </row>
    <row r="254" spans="1:4" x14ac:dyDescent="0.3">
      <c r="A254">
        <v>378</v>
      </c>
      <c r="B254">
        <v>12</v>
      </c>
      <c r="C254">
        <v>1</v>
      </c>
      <c r="D254">
        <v>83</v>
      </c>
    </row>
    <row r="255" spans="1:4" x14ac:dyDescent="0.3">
      <c r="A255">
        <v>188</v>
      </c>
      <c r="B255">
        <v>23</v>
      </c>
      <c r="C255">
        <v>1</v>
      </c>
      <c r="D255">
        <v>83</v>
      </c>
    </row>
    <row r="256" spans="1:4" x14ac:dyDescent="0.3">
      <c r="A256">
        <v>858</v>
      </c>
      <c r="B256">
        <v>4</v>
      </c>
      <c r="C256">
        <v>3</v>
      </c>
      <c r="D256">
        <v>116</v>
      </c>
    </row>
    <row r="257" spans="1:4" x14ac:dyDescent="0.3">
      <c r="A257">
        <v>230</v>
      </c>
      <c r="B257">
        <v>23</v>
      </c>
      <c r="C257">
        <v>2</v>
      </c>
      <c r="D257">
        <v>79</v>
      </c>
    </row>
    <row r="258" spans="1:4" x14ac:dyDescent="0.3">
      <c r="A258">
        <v>833</v>
      </c>
      <c r="B258">
        <v>48</v>
      </c>
      <c r="C258">
        <v>4</v>
      </c>
      <c r="D258">
        <v>109</v>
      </c>
    </row>
    <row r="259" spans="1:4" x14ac:dyDescent="0.3">
      <c r="A259">
        <v>852</v>
      </c>
      <c r="B259">
        <v>48</v>
      </c>
      <c r="C259">
        <v>1</v>
      </c>
      <c r="D259">
        <v>97</v>
      </c>
    </row>
    <row r="260" spans="1:4" x14ac:dyDescent="0.3">
      <c r="A260">
        <v>119</v>
      </c>
      <c r="B260">
        <v>1</v>
      </c>
      <c r="C260">
        <v>4</v>
      </c>
      <c r="D260">
        <v>85</v>
      </c>
    </row>
    <row r="261" spans="1:4" x14ac:dyDescent="0.3">
      <c r="A261">
        <v>156</v>
      </c>
      <c r="B261">
        <v>25</v>
      </c>
      <c r="C261">
        <v>4</v>
      </c>
      <c r="D261">
        <v>52</v>
      </c>
    </row>
    <row r="262" spans="1:4" x14ac:dyDescent="0.3">
      <c r="A262">
        <v>784</v>
      </c>
      <c r="B262">
        <v>2</v>
      </c>
      <c r="C262">
        <v>2</v>
      </c>
      <c r="D262">
        <v>32</v>
      </c>
    </row>
    <row r="263" spans="1:4" x14ac:dyDescent="0.3">
      <c r="A263">
        <v>687</v>
      </c>
      <c r="B263">
        <v>30</v>
      </c>
      <c r="C263">
        <v>3</v>
      </c>
      <c r="D263">
        <v>36</v>
      </c>
    </row>
    <row r="264" spans="1:4" x14ac:dyDescent="0.3">
      <c r="A264">
        <v>465</v>
      </c>
      <c r="B264">
        <v>3</v>
      </c>
      <c r="C264">
        <v>2</v>
      </c>
      <c r="D264">
        <v>67</v>
      </c>
    </row>
    <row r="265" spans="1:4" x14ac:dyDescent="0.3">
      <c r="A265">
        <v>104</v>
      </c>
      <c r="B265">
        <v>21</v>
      </c>
      <c r="C265">
        <v>1</v>
      </c>
      <c r="D265">
        <v>118</v>
      </c>
    </row>
    <row r="266" spans="1:4" x14ac:dyDescent="0.3">
      <c r="A266">
        <v>604</v>
      </c>
      <c r="B266">
        <v>25</v>
      </c>
      <c r="C266">
        <v>4</v>
      </c>
      <c r="D266">
        <v>46</v>
      </c>
    </row>
    <row r="267" spans="1:4" x14ac:dyDescent="0.3">
      <c r="A267">
        <v>698</v>
      </c>
      <c r="B267">
        <v>20</v>
      </c>
      <c r="C267">
        <v>2</v>
      </c>
      <c r="D267">
        <v>15</v>
      </c>
    </row>
    <row r="268" spans="1:4" x14ac:dyDescent="0.3">
      <c r="A268">
        <v>972</v>
      </c>
      <c r="B268">
        <v>49</v>
      </c>
      <c r="C268">
        <v>2</v>
      </c>
      <c r="D268">
        <v>74</v>
      </c>
    </row>
    <row r="269" spans="1:4" x14ac:dyDescent="0.3">
      <c r="A269">
        <v>795</v>
      </c>
      <c r="B269">
        <v>22</v>
      </c>
      <c r="C269">
        <v>2</v>
      </c>
      <c r="D269">
        <v>15</v>
      </c>
    </row>
    <row r="270" spans="1:4" x14ac:dyDescent="0.3">
      <c r="A270">
        <v>502</v>
      </c>
      <c r="B270">
        <v>21</v>
      </c>
      <c r="C270">
        <v>1</v>
      </c>
      <c r="D270">
        <v>59</v>
      </c>
    </row>
    <row r="271" spans="1:4" x14ac:dyDescent="0.3">
      <c r="A271">
        <v>693</v>
      </c>
      <c r="B271">
        <v>33</v>
      </c>
      <c r="C271">
        <v>3</v>
      </c>
      <c r="D271">
        <v>31</v>
      </c>
    </row>
    <row r="272" spans="1:4" x14ac:dyDescent="0.3">
      <c r="A272">
        <v>682</v>
      </c>
      <c r="B272">
        <v>38</v>
      </c>
      <c r="C272">
        <v>2</v>
      </c>
      <c r="D272">
        <v>114</v>
      </c>
    </row>
    <row r="273" spans="1:4" x14ac:dyDescent="0.3">
      <c r="A273">
        <v>699</v>
      </c>
      <c r="B273">
        <v>15</v>
      </c>
      <c r="C273">
        <v>1</v>
      </c>
      <c r="D273">
        <v>97</v>
      </c>
    </row>
    <row r="274" spans="1:4" x14ac:dyDescent="0.3">
      <c r="A274">
        <v>175</v>
      </c>
      <c r="B274">
        <v>46</v>
      </c>
      <c r="C274">
        <v>4</v>
      </c>
      <c r="D274">
        <v>34</v>
      </c>
    </row>
    <row r="275" spans="1:4" x14ac:dyDescent="0.3">
      <c r="A275">
        <v>734</v>
      </c>
      <c r="B275">
        <v>15</v>
      </c>
      <c r="C275">
        <v>5</v>
      </c>
      <c r="D275">
        <v>88</v>
      </c>
    </row>
    <row r="276" spans="1:4" x14ac:dyDescent="0.3">
      <c r="A276">
        <v>745</v>
      </c>
      <c r="B276">
        <v>46</v>
      </c>
      <c r="C276">
        <v>1</v>
      </c>
      <c r="D276">
        <v>99</v>
      </c>
    </row>
    <row r="277" spans="1:4" x14ac:dyDescent="0.3">
      <c r="A277">
        <v>674</v>
      </c>
      <c r="B277">
        <v>25</v>
      </c>
      <c r="C277">
        <v>5</v>
      </c>
      <c r="D277">
        <v>81</v>
      </c>
    </row>
    <row r="278" spans="1:4" x14ac:dyDescent="0.3">
      <c r="A278">
        <v>421</v>
      </c>
      <c r="B278">
        <v>21</v>
      </c>
      <c r="C278">
        <v>2</v>
      </c>
      <c r="D278">
        <v>60</v>
      </c>
    </row>
    <row r="279" spans="1:4" x14ac:dyDescent="0.3">
      <c r="A279">
        <v>134</v>
      </c>
      <c r="B279">
        <v>24</v>
      </c>
      <c r="C279">
        <v>2</v>
      </c>
      <c r="D279">
        <v>97</v>
      </c>
    </row>
    <row r="280" spans="1:4" x14ac:dyDescent="0.3">
      <c r="A280">
        <v>391</v>
      </c>
      <c r="B280">
        <v>5</v>
      </c>
      <c r="C280">
        <v>1</v>
      </c>
      <c r="D280">
        <v>57</v>
      </c>
    </row>
    <row r="281" spans="1:4" x14ac:dyDescent="0.3">
      <c r="A281">
        <v>992</v>
      </c>
      <c r="B281">
        <v>6</v>
      </c>
      <c r="C281">
        <v>5</v>
      </c>
      <c r="D281">
        <v>111</v>
      </c>
    </row>
    <row r="282" spans="1:4" x14ac:dyDescent="0.3">
      <c r="A282">
        <v>736</v>
      </c>
      <c r="B282">
        <v>49</v>
      </c>
      <c r="C282">
        <v>2</v>
      </c>
      <c r="D282">
        <v>79</v>
      </c>
    </row>
    <row r="283" spans="1:4" x14ac:dyDescent="0.3">
      <c r="A283">
        <v>501</v>
      </c>
      <c r="B283">
        <v>43</v>
      </c>
      <c r="C283">
        <v>4</v>
      </c>
      <c r="D283">
        <v>108</v>
      </c>
    </row>
    <row r="284" spans="1:4" x14ac:dyDescent="0.3">
      <c r="A284">
        <v>665</v>
      </c>
      <c r="B284">
        <v>48</v>
      </c>
      <c r="C284">
        <v>3</v>
      </c>
      <c r="D284">
        <v>115</v>
      </c>
    </row>
    <row r="285" spans="1:4" x14ac:dyDescent="0.3">
      <c r="A285">
        <v>33</v>
      </c>
      <c r="B285">
        <v>44</v>
      </c>
      <c r="C285">
        <v>3</v>
      </c>
      <c r="D285">
        <v>74</v>
      </c>
    </row>
    <row r="286" spans="1:4" x14ac:dyDescent="0.3">
      <c r="A286">
        <v>55</v>
      </c>
      <c r="B286">
        <v>47</v>
      </c>
      <c r="C286">
        <v>2</v>
      </c>
      <c r="D286">
        <v>69</v>
      </c>
    </row>
    <row r="287" spans="1:4" x14ac:dyDescent="0.3">
      <c r="A287">
        <v>954</v>
      </c>
      <c r="B287">
        <v>23</v>
      </c>
      <c r="C287">
        <v>5</v>
      </c>
      <c r="D287">
        <v>55</v>
      </c>
    </row>
    <row r="288" spans="1:4" x14ac:dyDescent="0.3">
      <c r="A288">
        <v>519</v>
      </c>
      <c r="B288">
        <v>4</v>
      </c>
      <c r="C288">
        <v>2</v>
      </c>
      <c r="D288">
        <v>45</v>
      </c>
    </row>
    <row r="289" spans="1:4" x14ac:dyDescent="0.3">
      <c r="A289">
        <v>756</v>
      </c>
      <c r="B289">
        <v>27</v>
      </c>
      <c r="C289">
        <v>5</v>
      </c>
      <c r="D289">
        <v>67</v>
      </c>
    </row>
    <row r="290" spans="1:4" x14ac:dyDescent="0.3">
      <c r="A290">
        <v>825</v>
      </c>
      <c r="B290">
        <v>18</v>
      </c>
      <c r="C290">
        <v>4</v>
      </c>
      <c r="D290">
        <v>85</v>
      </c>
    </row>
    <row r="291" spans="1:4" x14ac:dyDescent="0.3">
      <c r="A291">
        <v>638</v>
      </c>
      <c r="B291">
        <v>21</v>
      </c>
      <c r="C291">
        <v>5</v>
      </c>
      <c r="D291">
        <v>47</v>
      </c>
    </row>
    <row r="292" spans="1:4" x14ac:dyDescent="0.3">
      <c r="A292">
        <v>12</v>
      </c>
      <c r="B292">
        <v>28</v>
      </c>
      <c r="C292">
        <v>2</v>
      </c>
      <c r="D292">
        <v>20</v>
      </c>
    </row>
    <row r="293" spans="1:4" x14ac:dyDescent="0.3">
      <c r="A293">
        <v>528</v>
      </c>
      <c r="B293">
        <v>35</v>
      </c>
      <c r="C293">
        <v>4</v>
      </c>
      <c r="D293">
        <v>21</v>
      </c>
    </row>
    <row r="294" spans="1:4" x14ac:dyDescent="0.3">
      <c r="A294">
        <v>720</v>
      </c>
      <c r="B294">
        <v>22</v>
      </c>
      <c r="C294">
        <v>1</v>
      </c>
      <c r="D294">
        <v>51</v>
      </c>
    </row>
    <row r="295" spans="1:4" x14ac:dyDescent="0.3">
      <c r="A295">
        <v>555</v>
      </c>
      <c r="B295">
        <v>40</v>
      </c>
      <c r="C295">
        <v>3</v>
      </c>
      <c r="D295">
        <v>48</v>
      </c>
    </row>
    <row r="296" spans="1:4" x14ac:dyDescent="0.3">
      <c r="A296">
        <v>373</v>
      </c>
      <c r="B296">
        <v>23</v>
      </c>
      <c r="C296">
        <v>2</v>
      </c>
      <c r="D296">
        <v>80</v>
      </c>
    </row>
    <row r="297" spans="1:4" x14ac:dyDescent="0.3">
      <c r="A297">
        <v>484</v>
      </c>
      <c r="B297">
        <v>3</v>
      </c>
      <c r="C297">
        <v>2</v>
      </c>
      <c r="D297">
        <v>20</v>
      </c>
    </row>
    <row r="298" spans="1:4" x14ac:dyDescent="0.3">
      <c r="A298">
        <v>973</v>
      </c>
      <c r="B298">
        <v>40</v>
      </c>
      <c r="C298">
        <v>2</v>
      </c>
      <c r="D298">
        <v>45</v>
      </c>
    </row>
    <row r="299" spans="1:4" x14ac:dyDescent="0.3">
      <c r="A299">
        <v>647</v>
      </c>
      <c r="B299">
        <v>50</v>
      </c>
      <c r="C299">
        <v>4</v>
      </c>
      <c r="D299">
        <v>61</v>
      </c>
    </row>
    <row r="300" spans="1:4" x14ac:dyDescent="0.3">
      <c r="A300">
        <v>228</v>
      </c>
      <c r="B300">
        <v>10</v>
      </c>
      <c r="C300">
        <v>1</v>
      </c>
      <c r="D300">
        <v>40</v>
      </c>
    </row>
    <row r="301" spans="1:4" x14ac:dyDescent="0.3">
      <c r="A301">
        <v>623</v>
      </c>
      <c r="B301">
        <v>25</v>
      </c>
      <c r="C301">
        <v>5</v>
      </c>
      <c r="D301">
        <v>42</v>
      </c>
    </row>
    <row r="302" spans="1:4" x14ac:dyDescent="0.3">
      <c r="A302">
        <v>307</v>
      </c>
      <c r="B302">
        <v>49</v>
      </c>
      <c r="C302">
        <v>1</v>
      </c>
      <c r="D302">
        <v>22</v>
      </c>
    </row>
    <row r="303" spans="1:4" x14ac:dyDescent="0.3">
      <c r="A303">
        <v>457</v>
      </c>
      <c r="B303">
        <v>8</v>
      </c>
      <c r="C303">
        <v>4</v>
      </c>
      <c r="D303">
        <v>27</v>
      </c>
    </row>
    <row r="304" spans="1:4" x14ac:dyDescent="0.3">
      <c r="A304">
        <v>160</v>
      </c>
      <c r="B304">
        <v>11</v>
      </c>
      <c r="C304">
        <v>2</v>
      </c>
      <c r="D304">
        <v>50</v>
      </c>
    </row>
    <row r="305" spans="1:4" x14ac:dyDescent="0.3">
      <c r="A305">
        <v>331</v>
      </c>
      <c r="B305">
        <v>5</v>
      </c>
      <c r="C305">
        <v>3</v>
      </c>
      <c r="D305">
        <v>67</v>
      </c>
    </row>
    <row r="306" spans="1:4" x14ac:dyDescent="0.3">
      <c r="A306">
        <v>776</v>
      </c>
      <c r="B306">
        <v>45</v>
      </c>
      <c r="C306">
        <v>2</v>
      </c>
      <c r="D306">
        <v>65</v>
      </c>
    </row>
    <row r="307" spans="1:4" x14ac:dyDescent="0.3">
      <c r="A307">
        <v>225</v>
      </c>
      <c r="B307">
        <v>37</v>
      </c>
      <c r="C307">
        <v>5</v>
      </c>
      <c r="D307">
        <v>33</v>
      </c>
    </row>
    <row r="308" spans="1:4" x14ac:dyDescent="0.3">
      <c r="A308">
        <v>983</v>
      </c>
      <c r="B308">
        <v>45</v>
      </c>
      <c r="C308">
        <v>3</v>
      </c>
      <c r="D308">
        <v>82</v>
      </c>
    </row>
    <row r="309" spans="1:4" x14ac:dyDescent="0.3">
      <c r="A309">
        <v>729</v>
      </c>
      <c r="B309">
        <v>38</v>
      </c>
      <c r="C309">
        <v>2</v>
      </c>
      <c r="D309">
        <v>40</v>
      </c>
    </row>
    <row r="310" spans="1:4" x14ac:dyDescent="0.3">
      <c r="A310">
        <v>504</v>
      </c>
      <c r="B310">
        <v>29</v>
      </c>
      <c r="C310">
        <v>3</v>
      </c>
      <c r="D310">
        <v>64</v>
      </c>
    </row>
    <row r="311" spans="1:4" x14ac:dyDescent="0.3">
      <c r="A311">
        <v>456</v>
      </c>
      <c r="B311">
        <v>5</v>
      </c>
      <c r="C311">
        <v>1</v>
      </c>
      <c r="D311">
        <v>114</v>
      </c>
    </row>
    <row r="312" spans="1:4" x14ac:dyDescent="0.3">
      <c r="A312">
        <v>45</v>
      </c>
      <c r="B312">
        <v>9</v>
      </c>
      <c r="C312">
        <v>4</v>
      </c>
      <c r="D312">
        <v>19</v>
      </c>
    </row>
    <row r="313" spans="1:4" x14ac:dyDescent="0.3">
      <c r="A313">
        <v>214</v>
      </c>
      <c r="B313">
        <v>48</v>
      </c>
      <c r="C313">
        <v>2</v>
      </c>
      <c r="D313">
        <v>69</v>
      </c>
    </row>
    <row r="314" spans="1:4" x14ac:dyDescent="0.3">
      <c r="A314">
        <v>59</v>
      </c>
      <c r="B314">
        <v>2</v>
      </c>
      <c r="C314">
        <v>5</v>
      </c>
      <c r="D314">
        <v>11</v>
      </c>
    </row>
    <row r="315" spans="1:4" x14ac:dyDescent="0.3">
      <c r="A315">
        <v>644</v>
      </c>
      <c r="B315">
        <v>1</v>
      </c>
      <c r="C315">
        <v>1</v>
      </c>
      <c r="D315">
        <v>111</v>
      </c>
    </row>
    <row r="316" spans="1:4" x14ac:dyDescent="0.3">
      <c r="A316">
        <v>616</v>
      </c>
      <c r="B316">
        <v>40</v>
      </c>
      <c r="C316">
        <v>2</v>
      </c>
      <c r="D316">
        <v>24</v>
      </c>
    </row>
    <row r="317" spans="1:4" x14ac:dyDescent="0.3">
      <c r="A317">
        <v>195</v>
      </c>
      <c r="B317">
        <v>30</v>
      </c>
      <c r="C317">
        <v>1</v>
      </c>
      <c r="D317">
        <v>12</v>
      </c>
    </row>
    <row r="318" spans="1:4" x14ac:dyDescent="0.3">
      <c r="A318">
        <v>925</v>
      </c>
      <c r="B318">
        <v>11</v>
      </c>
      <c r="C318">
        <v>5</v>
      </c>
      <c r="D318">
        <v>52</v>
      </c>
    </row>
    <row r="319" spans="1:4" x14ac:dyDescent="0.3">
      <c r="A319">
        <v>489</v>
      </c>
      <c r="B319">
        <v>28</v>
      </c>
      <c r="C319">
        <v>2</v>
      </c>
      <c r="D319">
        <v>40</v>
      </c>
    </row>
    <row r="320" spans="1:4" x14ac:dyDescent="0.3">
      <c r="A320">
        <v>157</v>
      </c>
      <c r="B320">
        <v>44</v>
      </c>
      <c r="C320">
        <v>5</v>
      </c>
      <c r="D320">
        <v>79</v>
      </c>
    </row>
    <row r="321" spans="1:4" x14ac:dyDescent="0.3">
      <c r="A321">
        <v>610</v>
      </c>
      <c r="B321">
        <v>12</v>
      </c>
      <c r="C321">
        <v>3</v>
      </c>
      <c r="D321">
        <v>76</v>
      </c>
    </row>
    <row r="322" spans="1:4" x14ac:dyDescent="0.3">
      <c r="A322">
        <v>226</v>
      </c>
      <c r="B322">
        <v>39</v>
      </c>
      <c r="C322">
        <v>5</v>
      </c>
      <c r="D322">
        <v>65</v>
      </c>
    </row>
    <row r="323" spans="1:4" x14ac:dyDescent="0.3">
      <c r="A323">
        <v>412</v>
      </c>
      <c r="B323">
        <v>26</v>
      </c>
      <c r="C323">
        <v>3</v>
      </c>
      <c r="D323">
        <v>72</v>
      </c>
    </row>
    <row r="324" spans="1:4" x14ac:dyDescent="0.3">
      <c r="A324">
        <v>205</v>
      </c>
      <c r="B324">
        <v>13</v>
      </c>
      <c r="C324">
        <v>2</v>
      </c>
      <c r="D324">
        <v>84</v>
      </c>
    </row>
    <row r="325" spans="1:4" x14ac:dyDescent="0.3">
      <c r="A325">
        <v>79</v>
      </c>
      <c r="B325">
        <v>8</v>
      </c>
      <c r="C325">
        <v>3</v>
      </c>
      <c r="D325">
        <v>24</v>
      </c>
    </row>
    <row r="326" spans="1:4" x14ac:dyDescent="0.3">
      <c r="A326">
        <v>124</v>
      </c>
      <c r="B326">
        <v>28</v>
      </c>
      <c r="C326">
        <v>2</v>
      </c>
      <c r="D326">
        <v>118</v>
      </c>
    </row>
    <row r="327" spans="1:4" x14ac:dyDescent="0.3">
      <c r="A327">
        <v>471</v>
      </c>
      <c r="B327">
        <v>30</v>
      </c>
      <c r="C327">
        <v>2</v>
      </c>
      <c r="D327">
        <v>101</v>
      </c>
    </row>
    <row r="328" spans="1:4" x14ac:dyDescent="0.3">
      <c r="A328">
        <v>940</v>
      </c>
      <c r="B328">
        <v>9</v>
      </c>
      <c r="C328">
        <v>4</v>
      </c>
      <c r="D328">
        <v>19</v>
      </c>
    </row>
    <row r="329" spans="1:4" x14ac:dyDescent="0.3">
      <c r="A329">
        <v>218</v>
      </c>
      <c r="B329">
        <v>39</v>
      </c>
      <c r="C329">
        <v>2</v>
      </c>
      <c r="D329">
        <v>47</v>
      </c>
    </row>
    <row r="330" spans="1:4" x14ac:dyDescent="0.3">
      <c r="A330">
        <v>516</v>
      </c>
      <c r="B330">
        <v>31</v>
      </c>
      <c r="C330">
        <v>3</v>
      </c>
      <c r="D330">
        <v>56</v>
      </c>
    </row>
    <row r="331" spans="1:4" x14ac:dyDescent="0.3">
      <c r="A331">
        <v>602</v>
      </c>
      <c r="B331">
        <v>21</v>
      </c>
      <c r="C331">
        <v>4</v>
      </c>
      <c r="D331">
        <v>66</v>
      </c>
    </row>
    <row r="332" spans="1:4" x14ac:dyDescent="0.3">
      <c r="A332">
        <v>104</v>
      </c>
      <c r="B332">
        <v>47</v>
      </c>
      <c r="C332">
        <v>4</v>
      </c>
      <c r="D332">
        <v>59</v>
      </c>
    </row>
    <row r="333" spans="1:4" x14ac:dyDescent="0.3">
      <c r="A333">
        <v>393</v>
      </c>
      <c r="B333">
        <v>34</v>
      </c>
      <c r="C333">
        <v>2</v>
      </c>
      <c r="D333">
        <v>80</v>
      </c>
    </row>
    <row r="334" spans="1:4" x14ac:dyDescent="0.3">
      <c r="A334">
        <v>631</v>
      </c>
      <c r="B334">
        <v>31</v>
      </c>
      <c r="C334">
        <v>5</v>
      </c>
      <c r="D334">
        <v>24</v>
      </c>
    </row>
    <row r="335" spans="1:4" x14ac:dyDescent="0.3">
      <c r="A335">
        <v>645</v>
      </c>
      <c r="B335">
        <v>25</v>
      </c>
      <c r="C335">
        <v>5</v>
      </c>
      <c r="D335">
        <v>27</v>
      </c>
    </row>
    <row r="336" spans="1:4" x14ac:dyDescent="0.3">
      <c r="A336">
        <v>824</v>
      </c>
      <c r="B336">
        <v>12</v>
      </c>
      <c r="C336">
        <v>4</v>
      </c>
      <c r="D336">
        <v>91</v>
      </c>
    </row>
    <row r="337" spans="1:4" x14ac:dyDescent="0.3">
      <c r="A337">
        <v>608</v>
      </c>
      <c r="B337">
        <v>1</v>
      </c>
      <c r="C337">
        <v>2</v>
      </c>
      <c r="D337">
        <v>114</v>
      </c>
    </row>
    <row r="338" spans="1:4" x14ac:dyDescent="0.3">
      <c r="A338">
        <v>980</v>
      </c>
      <c r="B338">
        <v>22</v>
      </c>
      <c r="C338">
        <v>5</v>
      </c>
      <c r="D338">
        <v>97</v>
      </c>
    </row>
    <row r="339" spans="1:4" x14ac:dyDescent="0.3">
      <c r="A339">
        <v>434</v>
      </c>
      <c r="B339">
        <v>40</v>
      </c>
      <c r="C339">
        <v>2</v>
      </c>
      <c r="D339">
        <v>11</v>
      </c>
    </row>
    <row r="340" spans="1:4" x14ac:dyDescent="0.3">
      <c r="A340">
        <v>331</v>
      </c>
      <c r="B340">
        <v>37</v>
      </c>
      <c r="C340">
        <v>2</v>
      </c>
      <c r="D340">
        <v>113</v>
      </c>
    </row>
    <row r="341" spans="1:4" x14ac:dyDescent="0.3">
      <c r="A341">
        <v>143</v>
      </c>
      <c r="B341">
        <v>47</v>
      </c>
      <c r="C341">
        <v>4</v>
      </c>
      <c r="D341">
        <v>93</v>
      </c>
    </row>
    <row r="342" spans="1:4" x14ac:dyDescent="0.3">
      <c r="A342">
        <v>800</v>
      </c>
      <c r="B342">
        <v>1</v>
      </c>
      <c r="C342">
        <v>4</v>
      </c>
      <c r="D342">
        <v>107</v>
      </c>
    </row>
    <row r="343" spans="1:4" x14ac:dyDescent="0.3">
      <c r="A343">
        <v>540</v>
      </c>
      <c r="B343">
        <v>1</v>
      </c>
      <c r="C343">
        <v>1</v>
      </c>
      <c r="D343">
        <v>52</v>
      </c>
    </row>
    <row r="344" spans="1:4" x14ac:dyDescent="0.3">
      <c r="A344">
        <v>278</v>
      </c>
      <c r="B344">
        <v>42</v>
      </c>
      <c r="C344">
        <v>5</v>
      </c>
      <c r="D344">
        <v>35</v>
      </c>
    </row>
    <row r="345" spans="1:4" x14ac:dyDescent="0.3">
      <c r="A345">
        <v>233</v>
      </c>
      <c r="B345">
        <v>42</v>
      </c>
      <c r="C345">
        <v>5</v>
      </c>
      <c r="D345">
        <v>80</v>
      </c>
    </row>
    <row r="346" spans="1:4" x14ac:dyDescent="0.3">
      <c r="A346">
        <v>529</v>
      </c>
      <c r="B346">
        <v>21</v>
      </c>
      <c r="C346">
        <v>5</v>
      </c>
      <c r="D346">
        <v>47</v>
      </c>
    </row>
    <row r="347" spans="1:4" x14ac:dyDescent="0.3">
      <c r="A347">
        <v>571</v>
      </c>
      <c r="B347">
        <v>15</v>
      </c>
      <c r="C347">
        <v>3</v>
      </c>
      <c r="D347">
        <v>103</v>
      </c>
    </row>
    <row r="348" spans="1:4" x14ac:dyDescent="0.3">
      <c r="A348">
        <v>90</v>
      </c>
      <c r="B348">
        <v>17</v>
      </c>
      <c r="C348">
        <v>2</v>
      </c>
      <c r="D348">
        <v>51</v>
      </c>
    </row>
    <row r="349" spans="1:4" x14ac:dyDescent="0.3">
      <c r="A349">
        <v>492</v>
      </c>
      <c r="B349">
        <v>22</v>
      </c>
      <c r="C349">
        <v>4</v>
      </c>
      <c r="D349">
        <v>14</v>
      </c>
    </row>
    <row r="350" spans="1:4" x14ac:dyDescent="0.3">
      <c r="A350">
        <v>199</v>
      </c>
      <c r="B350">
        <v>38</v>
      </c>
      <c r="C350">
        <v>5</v>
      </c>
      <c r="D350">
        <v>20</v>
      </c>
    </row>
    <row r="351" spans="1:4" x14ac:dyDescent="0.3">
      <c r="A351">
        <v>362</v>
      </c>
      <c r="B351">
        <v>35</v>
      </c>
      <c r="C351">
        <v>1</v>
      </c>
      <c r="D351">
        <v>74</v>
      </c>
    </row>
    <row r="352" spans="1:4" x14ac:dyDescent="0.3">
      <c r="A352">
        <v>441</v>
      </c>
      <c r="B352">
        <v>45</v>
      </c>
      <c r="C352">
        <v>5</v>
      </c>
      <c r="D352">
        <v>43</v>
      </c>
    </row>
    <row r="353" spans="1:4" x14ac:dyDescent="0.3">
      <c r="A353">
        <v>26</v>
      </c>
      <c r="B353">
        <v>16</v>
      </c>
      <c r="C353">
        <v>2</v>
      </c>
      <c r="D353">
        <v>10</v>
      </c>
    </row>
    <row r="354" spans="1:4" x14ac:dyDescent="0.3">
      <c r="A354">
        <v>25</v>
      </c>
      <c r="B354">
        <v>8</v>
      </c>
      <c r="C354">
        <v>2</v>
      </c>
      <c r="D354">
        <v>92</v>
      </c>
    </row>
    <row r="355" spans="1:4" x14ac:dyDescent="0.3">
      <c r="A355">
        <v>394</v>
      </c>
      <c r="B355">
        <v>47</v>
      </c>
      <c r="C355">
        <v>4</v>
      </c>
      <c r="D355">
        <v>11</v>
      </c>
    </row>
    <row r="356" spans="1:4" x14ac:dyDescent="0.3">
      <c r="A356">
        <v>507</v>
      </c>
      <c r="B356">
        <v>17</v>
      </c>
      <c r="C356">
        <v>3</v>
      </c>
      <c r="D356">
        <v>94</v>
      </c>
    </row>
    <row r="357" spans="1:4" x14ac:dyDescent="0.3">
      <c r="A357">
        <v>301</v>
      </c>
      <c r="B357">
        <v>17</v>
      </c>
      <c r="C357">
        <v>4</v>
      </c>
      <c r="D357">
        <v>29</v>
      </c>
    </row>
    <row r="358" spans="1:4" x14ac:dyDescent="0.3">
      <c r="A358">
        <v>339</v>
      </c>
      <c r="B358">
        <v>26</v>
      </c>
      <c r="C358">
        <v>5</v>
      </c>
      <c r="D358">
        <v>70</v>
      </c>
    </row>
    <row r="359" spans="1:4" x14ac:dyDescent="0.3">
      <c r="A359">
        <v>267</v>
      </c>
      <c r="B359">
        <v>13</v>
      </c>
      <c r="C359">
        <v>1</v>
      </c>
      <c r="D359">
        <v>96</v>
      </c>
    </row>
    <row r="360" spans="1:4" x14ac:dyDescent="0.3">
      <c r="A360">
        <v>461</v>
      </c>
      <c r="B360">
        <v>17</v>
      </c>
      <c r="C360">
        <v>4</v>
      </c>
      <c r="D360">
        <v>30</v>
      </c>
    </row>
    <row r="361" spans="1:4" x14ac:dyDescent="0.3">
      <c r="A361">
        <v>693</v>
      </c>
      <c r="B361">
        <v>38</v>
      </c>
      <c r="C361">
        <v>3</v>
      </c>
      <c r="D361">
        <v>97</v>
      </c>
    </row>
    <row r="362" spans="1:4" x14ac:dyDescent="0.3">
      <c r="A362">
        <v>456</v>
      </c>
      <c r="B362">
        <v>17</v>
      </c>
      <c r="C362">
        <v>4</v>
      </c>
      <c r="D362">
        <v>77</v>
      </c>
    </row>
    <row r="363" spans="1:4" x14ac:dyDescent="0.3">
      <c r="A363">
        <v>360</v>
      </c>
      <c r="B363">
        <v>48</v>
      </c>
      <c r="C363">
        <v>2</v>
      </c>
      <c r="D363">
        <v>21</v>
      </c>
    </row>
    <row r="364" spans="1:4" x14ac:dyDescent="0.3">
      <c r="A364">
        <v>68</v>
      </c>
      <c r="B364">
        <v>14</v>
      </c>
      <c r="C364">
        <v>5</v>
      </c>
      <c r="D364">
        <v>31</v>
      </c>
    </row>
    <row r="365" spans="1:4" x14ac:dyDescent="0.3">
      <c r="A365">
        <v>863</v>
      </c>
      <c r="B365">
        <v>45</v>
      </c>
      <c r="C365">
        <v>5</v>
      </c>
      <c r="D365">
        <v>29</v>
      </c>
    </row>
    <row r="366" spans="1:4" x14ac:dyDescent="0.3">
      <c r="A366">
        <v>412</v>
      </c>
      <c r="B366">
        <v>6</v>
      </c>
      <c r="C366">
        <v>5</v>
      </c>
      <c r="D366">
        <v>91</v>
      </c>
    </row>
    <row r="367" spans="1:4" x14ac:dyDescent="0.3">
      <c r="A367">
        <v>971</v>
      </c>
      <c r="B367">
        <v>35</v>
      </c>
      <c r="C367">
        <v>5</v>
      </c>
      <c r="D367">
        <v>10</v>
      </c>
    </row>
    <row r="368" spans="1:4" x14ac:dyDescent="0.3">
      <c r="A368">
        <v>491</v>
      </c>
      <c r="B368">
        <v>46</v>
      </c>
      <c r="C368">
        <v>5</v>
      </c>
      <c r="D368">
        <v>39</v>
      </c>
    </row>
    <row r="369" spans="1:4" x14ac:dyDescent="0.3">
      <c r="A369">
        <v>833</v>
      </c>
      <c r="B369">
        <v>14</v>
      </c>
      <c r="C369">
        <v>5</v>
      </c>
      <c r="D369">
        <v>106</v>
      </c>
    </row>
    <row r="370" spans="1:4" x14ac:dyDescent="0.3">
      <c r="A370">
        <v>49</v>
      </c>
      <c r="B370">
        <v>47</v>
      </c>
      <c r="C370">
        <v>1</v>
      </c>
      <c r="D370">
        <v>33</v>
      </c>
    </row>
    <row r="371" spans="1:4" x14ac:dyDescent="0.3">
      <c r="A371">
        <v>687</v>
      </c>
      <c r="B371">
        <v>8</v>
      </c>
      <c r="C371">
        <v>3</v>
      </c>
      <c r="D371">
        <v>23</v>
      </c>
    </row>
    <row r="372" spans="1:4" x14ac:dyDescent="0.3">
      <c r="A372">
        <v>564</v>
      </c>
      <c r="B372">
        <v>15</v>
      </c>
      <c r="C372">
        <v>5</v>
      </c>
      <c r="D372">
        <v>45</v>
      </c>
    </row>
    <row r="373" spans="1:4" x14ac:dyDescent="0.3">
      <c r="A373">
        <v>102</v>
      </c>
      <c r="B373">
        <v>27</v>
      </c>
      <c r="C373">
        <v>3</v>
      </c>
      <c r="D373">
        <v>78</v>
      </c>
    </row>
    <row r="374" spans="1:4" x14ac:dyDescent="0.3">
      <c r="A374">
        <v>216</v>
      </c>
      <c r="B374">
        <v>13</v>
      </c>
      <c r="C374">
        <v>5</v>
      </c>
      <c r="D374">
        <v>84</v>
      </c>
    </row>
    <row r="375" spans="1:4" x14ac:dyDescent="0.3">
      <c r="A375">
        <v>438</v>
      </c>
      <c r="B375">
        <v>49</v>
      </c>
      <c r="C375">
        <v>4</v>
      </c>
      <c r="D375">
        <v>33</v>
      </c>
    </row>
    <row r="376" spans="1:4" x14ac:dyDescent="0.3">
      <c r="A376">
        <v>700</v>
      </c>
      <c r="B376">
        <v>31</v>
      </c>
      <c r="C376">
        <v>5</v>
      </c>
      <c r="D376">
        <v>69</v>
      </c>
    </row>
    <row r="377" spans="1:4" x14ac:dyDescent="0.3">
      <c r="A377">
        <v>569</v>
      </c>
      <c r="B377">
        <v>35</v>
      </c>
      <c r="C377">
        <v>2</v>
      </c>
      <c r="D377">
        <v>104</v>
      </c>
    </row>
    <row r="378" spans="1:4" x14ac:dyDescent="0.3">
      <c r="A378">
        <v>559</v>
      </c>
      <c r="B378">
        <v>6</v>
      </c>
      <c r="C378">
        <v>1</v>
      </c>
      <c r="D378">
        <v>64</v>
      </c>
    </row>
    <row r="379" spans="1:4" x14ac:dyDescent="0.3">
      <c r="A379">
        <v>159</v>
      </c>
      <c r="B379">
        <v>5</v>
      </c>
      <c r="C379">
        <v>4</v>
      </c>
      <c r="D379">
        <v>86</v>
      </c>
    </row>
    <row r="380" spans="1:4" x14ac:dyDescent="0.3">
      <c r="A380">
        <v>489</v>
      </c>
      <c r="B380">
        <v>22</v>
      </c>
      <c r="C380">
        <v>4</v>
      </c>
      <c r="D380">
        <v>89</v>
      </c>
    </row>
    <row r="381" spans="1:4" x14ac:dyDescent="0.3">
      <c r="A381">
        <v>686</v>
      </c>
      <c r="B381">
        <v>49</v>
      </c>
      <c r="C381">
        <v>2</v>
      </c>
      <c r="D381">
        <v>33</v>
      </c>
    </row>
    <row r="382" spans="1:4" x14ac:dyDescent="0.3">
      <c r="A382">
        <v>242</v>
      </c>
      <c r="B382">
        <v>23</v>
      </c>
      <c r="C382">
        <v>5</v>
      </c>
      <c r="D382">
        <v>86</v>
      </c>
    </row>
    <row r="383" spans="1:4" x14ac:dyDescent="0.3">
      <c r="A383">
        <v>794</v>
      </c>
      <c r="B383">
        <v>25</v>
      </c>
      <c r="C383">
        <v>1</v>
      </c>
      <c r="D383">
        <v>33</v>
      </c>
    </row>
    <row r="384" spans="1:4" x14ac:dyDescent="0.3">
      <c r="A384">
        <v>753</v>
      </c>
      <c r="B384">
        <v>34</v>
      </c>
      <c r="C384">
        <v>4</v>
      </c>
      <c r="D384">
        <v>63</v>
      </c>
    </row>
    <row r="385" spans="1:4" x14ac:dyDescent="0.3">
      <c r="A385">
        <v>882</v>
      </c>
      <c r="B385">
        <v>26</v>
      </c>
      <c r="C385">
        <v>1</v>
      </c>
      <c r="D385">
        <v>35</v>
      </c>
    </row>
    <row r="386" spans="1:4" x14ac:dyDescent="0.3">
      <c r="A386">
        <v>5</v>
      </c>
      <c r="B386">
        <v>47</v>
      </c>
      <c r="C386">
        <v>4</v>
      </c>
      <c r="D386">
        <v>75</v>
      </c>
    </row>
    <row r="387" spans="1:4" x14ac:dyDescent="0.3">
      <c r="A387">
        <v>596</v>
      </c>
      <c r="B387">
        <v>5</v>
      </c>
      <c r="C387">
        <v>5</v>
      </c>
      <c r="D387">
        <v>89</v>
      </c>
    </row>
    <row r="388" spans="1:4" x14ac:dyDescent="0.3">
      <c r="A388">
        <v>820</v>
      </c>
      <c r="B388">
        <v>26</v>
      </c>
      <c r="C388">
        <v>4</v>
      </c>
      <c r="D388">
        <v>47</v>
      </c>
    </row>
    <row r="389" spans="1:4" x14ac:dyDescent="0.3">
      <c r="A389">
        <v>361</v>
      </c>
      <c r="B389">
        <v>20</v>
      </c>
      <c r="C389">
        <v>4</v>
      </c>
      <c r="D389">
        <v>119</v>
      </c>
    </row>
    <row r="390" spans="1:4" x14ac:dyDescent="0.3">
      <c r="A390">
        <v>459</v>
      </c>
      <c r="B390">
        <v>6</v>
      </c>
      <c r="C390">
        <v>3</v>
      </c>
      <c r="D390">
        <v>74</v>
      </c>
    </row>
    <row r="391" spans="1:4" x14ac:dyDescent="0.3">
      <c r="A391">
        <v>248</v>
      </c>
      <c r="B391">
        <v>6</v>
      </c>
      <c r="C391">
        <v>5</v>
      </c>
      <c r="D391">
        <v>84</v>
      </c>
    </row>
    <row r="392" spans="1:4" x14ac:dyDescent="0.3">
      <c r="A392">
        <v>566</v>
      </c>
      <c r="B392">
        <v>50</v>
      </c>
      <c r="C392">
        <v>2</v>
      </c>
      <c r="D392">
        <v>60</v>
      </c>
    </row>
    <row r="393" spans="1:4" x14ac:dyDescent="0.3">
      <c r="A393">
        <v>673</v>
      </c>
      <c r="B393">
        <v>18</v>
      </c>
      <c r="C393">
        <v>2</v>
      </c>
      <c r="D393">
        <v>44</v>
      </c>
    </row>
    <row r="394" spans="1:4" x14ac:dyDescent="0.3">
      <c r="A394">
        <v>946</v>
      </c>
      <c r="B394">
        <v>4</v>
      </c>
      <c r="C394">
        <v>5</v>
      </c>
      <c r="D394">
        <v>52</v>
      </c>
    </row>
    <row r="395" spans="1:4" x14ac:dyDescent="0.3">
      <c r="A395">
        <v>422</v>
      </c>
      <c r="B395">
        <v>17</v>
      </c>
      <c r="C395">
        <v>2</v>
      </c>
      <c r="D395">
        <v>38</v>
      </c>
    </row>
    <row r="396" spans="1:4" x14ac:dyDescent="0.3">
      <c r="A396">
        <v>923</v>
      </c>
      <c r="B396">
        <v>14</v>
      </c>
      <c r="C396">
        <v>5</v>
      </c>
      <c r="D396">
        <v>46</v>
      </c>
    </row>
    <row r="397" spans="1:4" x14ac:dyDescent="0.3">
      <c r="A397">
        <v>738</v>
      </c>
      <c r="B397">
        <v>14</v>
      </c>
      <c r="C397">
        <v>2</v>
      </c>
      <c r="D397">
        <v>90</v>
      </c>
    </row>
    <row r="398" spans="1:4" x14ac:dyDescent="0.3">
      <c r="A398">
        <v>15</v>
      </c>
      <c r="B398">
        <v>13</v>
      </c>
      <c r="C398">
        <v>3</v>
      </c>
      <c r="D398">
        <v>67</v>
      </c>
    </row>
    <row r="399" spans="1:4" x14ac:dyDescent="0.3">
      <c r="A399">
        <v>736</v>
      </c>
      <c r="B399">
        <v>7</v>
      </c>
      <c r="C399">
        <v>2</v>
      </c>
      <c r="D399">
        <v>63</v>
      </c>
    </row>
    <row r="400" spans="1:4" x14ac:dyDescent="0.3">
      <c r="A400">
        <v>573</v>
      </c>
      <c r="B400">
        <v>44</v>
      </c>
      <c r="C400">
        <v>4</v>
      </c>
      <c r="D400">
        <v>48</v>
      </c>
    </row>
    <row r="401" spans="1:4" x14ac:dyDescent="0.3">
      <c r="A401">
        <v>122</v>
      </c>
      <c r="B401">
        <v>15</v>
      </c>
      <c r="C401">
        <v>5</v>
      </c>
      <c r="D401">
        <v>51</v>
      </c>
    </row>
    <row r="402" spans="1:4" x14ac:dyDescent="0.3">
      <c r="A402">
        <v>277</v>
      </c>
      <c r="B402">
        <v>19</v>
      </c>
      <c r="C402">
        <v>1</v>
      </c>
      <c r="D402">
        <v>37</v>
      </c>
    </row>
    <row r="403" spans="1:4" x14ac:dyDescent="0.3">
      <c r="A403">
        <v>558</v>
      </c>
      <c r="B403">
        <v>43</v>
      </c>
      <c r="C403">
        <v>1</v>
      </c>
      <c r="D403">
        <v>38</v>
      </c>
    </row>
    <row r="404" spans="1:4" x14ac:dyDescent="0.3">
      <c r="A404">
        <v>453</v>
      </c>
      <c r="B404">
        <v>47</v>
      </c>
      <c r="C404">
        <v>5</v>
      </c>
      <c r="D404">
        <v>52</v>
      </c>
    </row>
    <row r="405" spans="1:4" x14ac:dyDescent="0.3">
      <c r="A405">
        <v>390</v>
      </c>
      <c r="B405">
        <v>44</v>
      </c>
      <c r="C405">
        <v>3</v>
      </c>
      <c r="D405">
        <v>12</v>
      </c>
    </row>
    <row r="406" spans="1:4" x14ac:dyDescent="0.3">
      <c r="A406">
        <v>294</v>
      </c>
      <c r="B406">
        <v>35</v>
      </c>
      <c r="C406">
        <v>2</v>
      </c>
      <c r="D406">
        <v>19</v>
      </c>
    </row>
    <row r="407" spans="1:4" x14ac:dyDescent="0.3">
      <c r="A407">
        <v>574</v>
      </c>
      <c r="B407">
        <v>17</v>
      </c>
      <c r="C407">
        <v>3</v>
      </c>
      <c r="D407">
        <v>68</v>
      </c>
    </row>
    <row r="408" spans="1:4" x14ac:dyDescent="0.3">
      <c r="A408">
        <v>598</v>
      </c>
      <c r="B408">
        <v>35</v>
      </c>
      <c r="C408">
        <v>1</v>
      </c>
      <c r="D408">
        <v>115</v>
      </c>
    </row>
    <row r="409" spans="1:4" x14ac:dyDescent="0.3">
      <c r="A409">
        <v>446</v>
      </c>
      <c r="B409">
        <v>19</v>
      </c>
      <c r="C409">
        <v>5</v>
      </c>
      <c r="D409">
        <v>23</v>
      </c>
    </row>
    <row r="410" spans="1:4" x14ac:dyDescent="0.3">
      <c r="A410">
        <v>210</v>
      </c>
      <c r="B410">
        <v>20</v>
      </c>
      <c r="C410">
        <v>5</v>
      </c>
      <c r="D410">
        <v>85</v>
      </c>
    </row>
    <row r="411" spans="1:4" x14ac:dyDescent="0.3">
      <c r="A411">
        <v>590</v>
      </c>
      <c r="B411">
        <v>36</v>
      </c>
      <c r="C411">
        <v>3</v>
      </c>
      <c r="D411">
        <v>56</v>
      </c>
    </row>
    <row r="412" spans="1:4" x14ac:dyDescent="0.3">
      <c r="A412">
        <v>714</v>
      </c>
      <c r="B412">
        <v>35</v>
      </c>
      <c r="C412">
        <v>3</v>
      </c>
      <c r="D412">
        <v>51</v>
      </c>
    </row>
    <row r="413" spans="1:4" x14ac:dyDescent="0.3">
      <c r="A413">
        <v>302</v>
      </c>
      <c r="B413">
        <v>32</v>
      </c>
      <c r="C413">
        <v>2</v>
      </c>
      <c r="D413">
        <v>103</v>
      </c>
    </row>
    <row r="414" spans="1:4" x14ac:dyDescent="0.3">
      <c r="A414">
        <v>909</v>
      </c>
      <c r="B414">
        <v>48</v>
      </c>
      <c r="C414">
        <v>4</v>
      </c>
      <c r="D414">
        <v>41</v>
      </c>
    </row>
    <row r="415" spans="1:4" x14ac:dyDescent="0.3">
      <c r="A415">
        <v>223</v>
      </c>
      <c r="B415">
        <v>44</v>
      </c>
      <c r="C415">
        <v>4</v>
      </c>
      <c r="D415">
        <v>41</v>
      </c>
    </row>
    <row r="416" spans="1:4" x14ac:dyDescent="0.3">
      <c r="A416">
        <v>734</v>
      </c>
      <c r="B416">
        <v>40</v>
      </c>
      <c r="C416">
        <v>2</v>
      </c>
      <c r="D416">
        <v>51</v>
      </c>
    </row>
    <row r="417" spans="1:4" x14ac:dyDescent="0.3">
      <c r="A417">
        <v>3</v>
      </c>
      <c r="B417">
        <v>24</v>
      </c>
      <c r="C417">
        <v>4</v>
      </c>
      <c r="D417">
        <v>41</v>
      </c>
    </row>
    <row r="418" spans="1:4" x14ac:dyDescent="0.3">
      <c r="A418">
        <v>990</v>
      </c>
      <c r="B418">
        <v>17</v>
      </c>
      <c r="C418">
        <v>1</v>
      </c>
      <c r="D418">
        <v>35</v>
      </c>
    </row>
    <row r="419" spans="1:4" x14ac:dyDescent="0.3">
      <c r="A419">
        <v>518</v>
      </c>
      <c r="B419">
        <v>7</v>
      </c>
      <c r="C419">
        <v>4</v>
      </c>
      <c r="D419">
        <v>10</v>
      </c>
    </row>
    <row r="420" spans="1:4" x14ac:dyDescent="0.3">
      <c r="A420">
        <v>93</v>
      </c>
      <c r="B420">
        <v>43</v>
      </c>
      <c r="C420">
        <v>2</v>
      </c>
      <c r="D420">
        <v>65</v>
      </c>
    </row>
    <row r="421" spans="1:4" x14ac:dyDescent="0.3">
      <c r="A421">
        <v>520</v>
      </c>
      <c r="B421">
        <v>50</v>
      </c>
      <c r="C421">
        <v>4</v>
      </c>
      <c r="D421">
        <v>115</v>
      </c>
    </row>
    <row r="422" spans="1:4" x14ac:dyDescent="0.3">
      <c r="A422">
        <v>428</v>
      </c>
      <c r="B422">
        <v>1</v>
      </c>
      <c r="C422">
        <v>5</v>
      </c>
      <c r="D422">
        <v>11</v>
      </c>
    </row>
    <row r="423" spans="1:4" x14ac:dyDescent="0.3">
      <c r="A423">
        <v>493</v>
      </c>
      <c r="B423">
        <v>35</v>
      </c>
      <c r="C423">
        <v>3</v>
      </c>
      <c r="D423">
        <v>90</v>
      </c>
    </row>
    <row r="424" spans="1:4" x14ac:dyDescent="0.3">
      <c r="A424">
        <v>235</v>
      </c>
      <c r="B424">
        <v>32</v>
      </c>
      <c r="C424">
        <v>1</v>
      </c>
      <c r="D424">
        <v>39</v>
      </c>
    </row>
    <row r="425" spans="1:4" x14ac:dyDescent="0.3">
      <c r="A425">
        <v>620</v>
      </c>
      <c r="B425">
        <v>36</v>
      </c>
      <c r="C425">
        <v>5</v>
      </c>
      <c r="D425">
        <v>112</v>
      </c>
    </row>
    <row r="426" spans="1:4" x14ac:dyDescent="0.3">
      <c r="A426">
        <v>161</v>
      </c>
      <c r="B426">
        <v>13</v>
      </c>
      <c r="C426">
        <v>5</v>
      </c>
      <c r="D426">
        <v>80</v>
      </c>
    </row>
    <row r="427" spans="1:4" x14ac:dyDescent="0.3">
      <c r="A427">
        <v>721</v>
      </c>
      <c r="B427">
        <v>6</v>
      </c>
      <c r="C427">
        <v>2</v>
      </c>
      <c r="D427">
        <v>61</v>
      </c>
    </row>
    <row r="428" spans="1:4" x14ac:dyDescent="0.3">
      <c r="A428">
        <v>752</v>
      </c>
      <c r="B428">
        <v>14</v>
      </c>
      <c r="C428">
        <v>3</v>
      </c>
      <c r="D428">
        <v>100</v>
      </c>
    </row>
    <row r="429" spans="1:4" x14ac:dyDescent="0.3">
      <c r="A429">
        <v>331</v>
      </c>
      <c r="B429">
        <v>37</v>
      </c>
      <c r="C429">
        <v>3</v>
      </c>
      <c r="D429">
        <v>18</v>
      </c>
    </row>
    <row r="430" spans="1:4" x14ac:dyDescent="0.3">
      <c r="A430">
        <v>333</v>
      </c>
      <c r="B430">
        <v>48</v>
      </c>
      <c r="C430">
        <v>1</v>
      </c>
      <c r="D430">
        <v>31</v>
      </c>
    </row>
    <row r="431" spans="1:4" x14ac:dyDescent="0.3">
      <c r="A431">
        <v>50</v>
      </c>
      <c r="B431">
        <v>15</v>
      </c>
      <c r="C431">
        <v>2</v>
      </c>
      <c r="D431">
        <v>43</v>
      </c>
    </row>
    <row r="432" spans="1:4" x14ac:dyDescent="0.3">
      <c r="A432">
        <v>523</v>
      </c>
      <c r="B432">
        <v>47</v>
      </c>
      <c r="C432">
        <v>1</v>
      </c>
      <c r="D432">
        <v>119</v>
      </c>
    </row>
    <row r="433" spans="1:4" x14ac:dyDescent="0.3">
      <c r="A433">
        <v>863</v>
      </c>
      <c r="B433">
        <v>4</v>
      </c>
      <c r="C433">
        <v>4</v>
      </c>
      <c r="D433">
        <v>58</v>
      </c>
    </row>
    <row r="434" spans="1:4" x14ac:dyDescent="0.3">
      <c r="A434">
        <v>668</v>
      </c>
      <c r="B434">
        <v>40</v>
      </c>
      <c r="C434">
        <v>5</v>
      </c>
      <c r="D434">
        <v>10</v>
      </c>
    </row>
    <row r="435" spans="1:4" x14ac:dyDescent="0.3">
      <c r="A435">
        <v>492</v>
      </c>
      <c r="B435">
        <v>16</v>
      </c>
      <c r="C435">
        <v>1</v>
      </c>
      <c r="D435">
        <v>82</v>
      </c>
    </row>
    <row r="436" spans="1:4" x14ac:dyDescent="0.3">
      <c r="A436">
        <v>582</v>
      </c>
      <c r="B436">
        <v>28</v>
      </c>
      <c r="C436">
        <v>5</v>
      </c>
      <c r="D436">
        <v>93</v>
      </c>
    </row>
    <row r="437" spans="1:4" x14ac:dyDescent="0.3">
      <c r="A437">
        <v>681</v>
      </c>
      <c r="B437">
        <v>16</v>
      </c>
      <c r="C437">
        <v>2</v>
      </c>
      <c r="D437">
        <v>62</v>
      </c>
    </row>
    <row r="438" spans="1:4" x14ac:dyDescent="0.3">
      <c r="A438">
        <v>272</v>
      </c>
      <c r="B438">
        <v>4</v>
      </c>
      <c r="C438">
        <v>4</v>
      </c>
      <c r="D438">
        <v>92</v>
      </c>
    </row>
    <row r="439" spans="1:4" x14ac:dyDescent="0.3">
      <c r="A439">
        <v>580</v>
      </c>
      <c r="B439">
        <v>45</v>
      </c>
      <c r="C439">
        <v>2</v>
      </c>
      <c r="D439">
        <v>109</v>
      </c>
    </row>
    <row r="440" spans="1:4" x14ac:dyDescent="0.3">
      <c r="A440">
        <v>867</v>
      </c>
      <c r="B440">
        <v>26</v>
      </c>
      <c r="C440">
        <v>4</v>
      </c>
      <c r="D440">
        <v>49</v>
      </c>
    </row>
    <row r="441" spans="1:4" x14ac:dyDescent="0.3">
      <c r="A441">
        <v>252</v>
      </c>
      <c r="B441">
        <v>28</v>
      </c>
      <c r="C441">
        <v>4</v>
      </c>
      <c r="D441">
        <v>54</v>
      </c>
    </row>
    <row r="442" spans="1:4" x14ac:dyDescent="0.3">
      <c r="A442">
        <v>560</v>
      </c>
      <c r="B442">
        <v>32</v>
      </c>
      <c r="C442">
        <v>5</v>
      </c>
      <c r="D442">
        <v>77</v>
      </c>
    </row>
    <row r="443" spans="1:4" x14ac:dyDescent="0.3">
      <c r="A443">
        <v>696</v>
      </c>
      <c r="B443">
        <v>45</v>
      </c>
      <c r="C443">
        <v>2</v>
      </c>
      <c r="D443">
        <v>18</v>
      </c>
    </row>
    <row r="444" spans="1:4" x14ac:dyDescent="0.3">
      <c r="A444">
        <v>832</v>
      </c>
      <c r="B444">
        <v>2</v>
      </c>
      <c r="C444">
        <v>2</v>
      </c>
      <c r="D444">
        <v>114</v>
      </c>
    </row>
    <row r="445" spans="1:4" x14ac:dyDescent="0.3">
      <c r="A445">
        <v>699</v>
      </c>
      <c r="B445">
        <v>31</v>
      </c>
      <c r="C445">
        <v>1</v>
      </c>
      <c r="D445">
        <v>31</v>
      </c>
    </row>
    <row r="446" spans="1:4" x14ac:dyDescent="0.3">
      <c r="A446">
        <v>90</v>
      </c>
      <c r="B446">
        <v>3</v>
      </c>
      <c r="C446">
        <v>2</v>
      </c>
      <c r="D446">
        <v>27</v>
      </c>
    </row>
    <row r="447" spans="1:4" x14ac:dyDescent="0.3">
      <c r="A447">
        <v>446</v>
      </c>
      <c r="B447">
        <v>8</v>
      </c>
      <c r="C447">
        <v>1</v>
      </c>
      <c r="D447">
        <v>85</v>
      </c>
    </row>
    <row r="448" spans="1:4" x14ac:dyDescent="0.3">
      <c r="A448">
        <v>332</v>
      </c>
      <c r="B448">
        <v>24</v>
      </c>
      <c r="C448">
        <v>3</v>
      </c>
      <c r="D448">
        <v>115</v>
      </c>
    </row>
    <row r="449" spans="1:4" x14ac:dyDescent="0.3">
      <c r="A449">
        <v>139</v>
      </c>
      <c r="B449">
        <v>15</v>
      </c>
      <c r="C449">
        <v>3</v>
      </c>
      <c r="D449">
        <v>52</v>
      </c>
    </row>
    <row r="450" spans="1:4" x14ac:dyDescent="0.3">
      <c r="A450">
        <v>357</v>
      </c>
      <c r="B450">
        <v>43</v>
      </c>
      <c r="C450">
        <v>3</v>
      </c>
      <c r="D450">
        <v>48</v>
      </c>
    </row>
    <row r="451" spans="1:4" x14ac:dyDescent="0.3">
      <c r="A451">
        <v>601</v>
      </c>
      <c r="B451">
        <v>31</v>
      </c>
      <c r="C451">
        <v>2</v>
      </c>
      <c r="D451">
        <v>82</v>
      </c>
    </row>
    <row r="452" spans="1:4" x14ac:dyDescent="0.3">
      <c r="A452">
        <v>274</v>
      </c>
      <c r="B452">
        <v>9</v>
      </c>
      <c r="C452">
        <v>2</v>
      </c>
      <c r="D452">
        <v>15</v>
      </c>
    </row>
    <row r="453" spans="1:4" x14ac:dyDescent="0.3">
      <c r="A453">
        <v>19</v>
      </c>
      <c r="B453">
        <v>39</v>
      </c>
      <c r="C453">
        <v>1</v>
      </c>
      <c r="D453">
        <v>92</v>
      </c>
    </row>
    <row r="454" spans="1:4" x14ac:dyDescent="0.3">
      <c r="A454">
        <v>983</v>
      </c>
      <c r="B454">
        <v>45</v>
      </c>
      <c r="C454">
        <v>4</v>
      </c>
      <c r="D454">
        <v>57</v>
      </c>
    </row>
    <row r="455" spans="1:4" x14ac:dyDescent="0.3">
      <c r="A455">
        <v>311</v>
      </c>
      <c r="B455">
        <v>2</v>
      </c>
      <c r="C455">
        <v>1</v>
      </c>
      <c r="D455">
        <v>16</v>
      </c>
    </row>
    <row r="456" spans="1:4" x14ac:dyDescent="0.3">
      <c r="A456">
        <v>870</v>
      </c>
      <c r="B456">
        <v>8</v>
      </c>
      <c r="C456">
        <v>3</v>
      </c>
      <c r="D456">
        <v>89</v>
      </c>
    </row>
    <row r="457" spans="1:4" x14ac:dyDescent="0.3">
      <c r="A457">
        <v>886</v>
      </c>
      <c r="B457">
        <v>7</v>
      </c>
      <c r="C457">
        <v>1</v>
      </c>
      <c r="D457">
        <v>78</v>
      </c>
    </row>
    <row r="458" spans="1:4" x14ac:dyDescent="0.3">
      <c r="A458">
        <v>978</v>
      </c>
      <c r="B458">
        <v>44</v>
      </c>
      <c r="C458">
        <v>4</v>
      </c>
      <c r="D458">
        <v>25</v>
      </c>
    </row>
    <row r="459" spans="1:4" x14ac:dyDescent="0.3">
      <c r="A459">
        <v>154</v>
      </c>
      <c r="B459">
        <v>39</v>
      </c>
      <c r="C459">
        <v>2</v>
      </c>
      <c r="D459">
        <v>10</v>
      </c>
    </row>
    <row r="460" spans="1:4" x14ac:dyDescent="0.3">
      <c r="A460">
        <v>390</v>
      </c>
      <c r="B460">
        <v>42</v>
      </c>
      <c r="C460">
        <v>1</v>
      </c>
      <c r="D460">
        <v>46</v>
      </c>
    </row>
    <row r="461" spans="1:4" x14ac:dyDescent="0.3">
      <c r="A461">
        <v>260</v>
      </c>
      <c r="B461">
        <v>16</v>
      </c>
      <c r="C461">
        <v>3</v>
      </c>
      <c r="D461">
        <v>112</v>
      </c>
    </row>
    <row r="462" spans="1:4" x14ac:dyDescent="0.3">
      <c r="A462">
        <v>620</v>
      </c>
      <c r="B462">
        <v>35</v>
      </c>
      <c r="C462">
        <v>3</v>
      </c>
      <c r="D462">
        <v>92</v>
      </c>
    </row>
    <row r="463" spans="1:4" x14ac:dyDescent="0.3">
      <c r="A463">
        <v>883</v>
      </c>
      <c r="B463">
        <v>30</v>
      </c>
      <c r="C463">
        <v>2</v>
      </c>
      <c r="D463">
        <v>46</v>
      </c>
    </row>
    <row r="464" spans="1:4" x14ac:dyDescent="0.3">
      <c r="A464">
        <v>797</v>
      </c>
      <c r="B464">
        <v>10</v>
      </c>
      <c r="C464">
        <v>1</v>
      </c>
      <c r="D464">
        <v>90</v>
      </c>
    </row>
    <row r="465" spans="1:4" x14ac:dyDescent="0.3">
      <c r="A465">
        <v>571</v>
      </c>
      <c r="B465">
        <v>38</v>
      </c>
      <c r="C465">
        <v>4</v>
      </c>
      <c r="D465">
        <v>73</v>
      </c>
    </row>
    <row r="466" spans="1:4" x14ac:dyDescent="0.3">
      <c r="A466">
        <v>125</v>
      </c>
      <c r="B466">
        <v>18</v>
      </c>
      <c r="C466">
        <v>2</v>
      </c>
      <c r="D466">
        <v>99</v>
      </c>
    </row>
    <row r="467" spans="1:4" x14ac:dyDescent="0.3">
      <c r="A467">
        <v>354</v>
      </c>
      <c r="B467">
        <v>50</v>
      </c>
      <c r="C467">
        <v>1</v>
      </c>
      <c r="D467">
        <v>95</v>
      </c>
    </row>
    <row r="468" spans="1:4" x14ac:dyDescent="0.3">
      <c r="A468">
        <v>273</v>
      </c>
      <c r="B468">
        <v>5</v>
      </c>
      <c r="C468">
        <v>5</v>
      </c>
      <c r="D468">
        <v>71</v>
      </c>
    </row>
    <row r="469" spans="1:4" x14ac:dyDescent="0.3">
      <c r="A469">
        <v>619</v>
      </c>
      <c r="B469">
        <v>29</v>
      </c>
      <c r="C469">
        <v>3</v>
      </c>
      <c r="D469">
        <v>81</v>
      </c>
    </row>
    <row r="470" spans="1:4" x14ac:dyDescent="0.3">
      <c r="A470">
        <v>811</v>
      </c>
      <c r="B470">
        <v>39</v>
      </c>
      <c r="C470">
        <v>4</v>
      </c>
      <c r="D470">
        <v>70</v>
      </c>
    </row>
    <row r="471" spans="1:4" x14ac:dyDescent="0.3">
      <c r="A471">
        <v>245</v>
      </c>
      <c r="B471">
        <v>34</v>
      </c>
      <c r="C471">
        <v>4</v>
      </c>
      <c r="D471">
        <v>42</v>
      </c>
    </row>
    <row r="472" spans="1:4" x14ac:dyDescent="0.3">
      <c r="A472">
        <v>848</v>
      </c>
      <c r="B472">
        <v>43</v>
      </c>
      <c r="C472">
        <v>4</v>
      </c>
      <c r="D472">
        <v>75</v>
      </c>
    </row>
    <row r="473" spans="1:4" x14ac:dyDescent="0.3">
      <c r="A473">
        <v>450</v>
      </c>
      <c r="B473">
        <v>45</v>
      </c>
      <c r="C473">
        <v>3</v>
      </c>
      <c r="D473">
        <v>39</v>
      </c>
    </row>
    <row r="474" spans="1:4" x14ac:dyDescent="0.3">
      <c r="A474">
        <v>930</v>
      </c>
      <c r="B474">
        <v>23</v>
      </c>
      <c r="C474">
        <v>1</v>
      </c>
      <c r="D474">
        <v>29</v>
      </c>
    </row>
    <row r="475" spans="1:4" x14ac:dyDescent="0.3">
      <c r="A475">
        <v>247</v>
      </c>
      <c r="B475">
        <v>5</v>
      </c>
      <c r="C475">
        <v>2</v>
      </c>
      <c r="D475">
        <v>69</v>
      </c>
    </row>
    <row r="476" spans="1:4" x14ac:dyDescent="0.3">
      <c r="A476">
        <v>520</v>
      </c>
      <c r="B476">
        <v>30</v>
      </c>
      <c r="C476">
        <v>1</v>
      </c>
      <c r="D476">
        <v>91</v>
      </c>
    </row>
    <row r="477" spans="1:4" x14ac:dyDescent="0.3">
      <c r="A477">
        <v>141</v>
      </c>
      <c r="B477">
        <v>6</v>
      </c>
      <c r="C477">
        <v>2</v>
      </c>
      <c r="D477">
        <v>116</v>
      </c>
    </row>
    <row r="478" spans="1:4" x14ac:dyDescent="0.3">
      <c r="A478">
        <v>362</v>
      </c>
      <c r="B478">
        <v>46</v>
      </c>
      <c r="C478">
        <v>4</v>
      </c>
      <c r="D478">
        <v>83</v>
      </c>
    </row>
    <row r="479" spans="1:4" x14ac:dyDescent="0.3">
      <c r="A479">
        <v>8</v>
      </c>
      <c r="B479">
        <v>44</v>
      </c>
      <c r="C479">
        <v>1</v>
      </c>
      <c r="D479">
        <v>33</v>
      </c>
    </row>
    <row r="480" spans="1:4" x14ac:dyDescent="0.3">
      <c r="A480">
        <v>478</v>
      </c>
      <c r="B480">
        <v>4</v>
      </c>
      <c r="C480">
        <v>4</v>
      </c>
      <c r="D480">
        <v>13</v>
      </c>
    </row>
    <row r="481" spans="1:4" x14ac:dyDescent="0.3">
      <c r="A481">
        <v>352</v>
      </c>
      <c r="B481">
        <v>29</v>
      </c>
      <c r="C481">
        <v>5</v>
      </c>
      <c r="D481">
        <v>46</v>
      </c>
    </row>
    <row r="482" spans="1:4" x14ac:dyDescent="0.3">
      <c r="A482">
        <v>996</v>
      </c>
      <c r="B482">
        <v>23</v>
      </c>
      <c r="C482">
        <v>4</v>
      </c>
      <c r="D482">
        <v>13</v>
      </c>
    </row>
    <row r="483" spans="1:4" x14ac:dyDescent="0.3">
      <c r="A483">
        <v>495</v>
      </c>
      <c r="B483">
        <v>6</v>
      </c>
      <c r="C483">
        <v>4</v>
      </c>
      <c r="D483">
        <v>86</v>
      </c>
    </row>
    <row r="484" spans="1:4" x14ac:dyDescent="0.3">
      <c r="A484">
        <v>606</v>
      </c>
      <c r="B484">
        <v>32</v>
      </c>
      <c r="C484">
        <v>2</v>
      </c>
      <c r="D484">
        <v>98</v>
      </c>
    </row>
    <row r="485" spans="1:4" x14ac:dyDescent="0.3">
      <c r="A485">
        <v>833</v>
      </c>
      <c r="B485">
        <v>42</v>
      </c>
      <c r="C485">
        <v>5</v>
      </c>
      <c r="D485">
        <v>86</v>
      </c>
    </row>
    <row r="486" spans="1:4" x14ac:dyDescent="0.3">
      <c r="A486">
        <v>427</v>
      </c>
      <c r="B486">
        <v>18</v>
      </c>
      <c r="C486">
        <v>4</v>
      </c>
      <c r="D486">
        <v>27</v>
      </c>
    </row>
    <row r="487" spans="1:4" x14ac:dyDescent="0.3">
      <c r="A487">
        <v>39</v>
      </c>
      <c r="B487">
        <v>15</v>
      </c>
      <c r="C487">
        <v>4</v>
      </c>
      <c r="D487">
        <v>97</v>
      </c>
    </row>
    <row r="488" spans="1:4" x14ac:dyDescent="0.3">
      <c r="A488">
        <v>593</v>
      </c>
      <c r="B488">
        <v>40</v>
      </c>
      <c r="C488">
        <v>5</v>
      </c>
      <c r="D488">
        <v>75</v>
      </c>
    </row>
    <row r="489" spans="1:4" x14ac:dyDescent="0.3">
      <c r="A489">
        <v>187</v>
      </c>
      <c r="B489">
        <v>32</v>
      </c>
      <c r="C489">
        <v>5</v>
      </c>
      <c r="D489">
        <v>57</v>
      </c>
    </row>
    <row r="490" spans="1:4" x14ac:dyDescent="0.3">
      <c r="A490">
        <v>596</v>
      </c>
      <c r="B490">
        <v>9</v>
      </c>
      <c r="C490">
        <v>1</v>
      </c>
      <c r="D490">
        <v>42</v>
      </c>
    </row>
    <row r="491" spans="1:4" x14ac:dyDescent="0.3">
      <c r="A491">
        <v>600</v>
      </c>
      <c r="B491">
        <v>37</v>
      </c>
      <c r="C491">
        <v>2</v>
      </c>
      <c r="D491">
        <v>67</v>
      </c>
    </row>
    <row r="492" spans="1:4" x14ac:dyDescent="0.3">
      <c r="A492">
        <v>754</v>
      </c>
      <c r="B492">
        <v>10</v>
      </c>
      <c r="C492">
        <v>5</v>
      </c>
      <c r="D492">
        <v>92</v>
      </c>
    </row>
    <row r="493" spans="1:4" x14ac:dyDescent="0.3">
      <c r="A493">
        <v>854</v>
      </c>
      <c r="B493">
        <v>20</v>
      </c>
      <c r="C493">
        <v>5</v>
      </c>
      <c r="D493">
        <v>82</v>
      </c>
    </row>
    <row r="494" spans="1:4" x14ac:dyDescent="0.3">
      <c r="A494">
        <v>93</v>
      </c>
      <c r="B494">
        <v>6</v>
      </c>
      <c r="C494">
        <v>3</v>
      </c>
      <c r="D494">
        <v>37</v>
      </c>
    </row>
    <row r="495" spans="1:4" x14ac:dyDescent="0.3">
      <c r="A495">
        <v>86</v>
      </c>
      <c r="B495">
        <v>48</v>
      </c>
      <c r="C495">
        <v>5</v>
      </c>
      <c r="D495">
        <v>44</v>
      </c>
    </row>
    <row r="496" spans="1:4" x14ac:dyDescent="0.3">
      <c r="A496">
        <v>44</v>
      </c>
      <c r="B496">
        <v>3</v>
      </c>
      <c r="C496">
        <v>2</v>
      </c>
      <c r="D496">
        <v>112</v>
      </c>
    </row>
    <row r="497" spans="1:4" x14ac:dyDescent="0.3">
      <c r="A497">
        <v>137</v>
      </c>
      <c r="B497">
        <v>42</v>
      </c>
      <c r="C497">
        <v>4</v>
      </c>
      <c r="D497">
        <v>19</v>
      </c>
    </row>
    <row r="498" spans="1:4" x14ac:dyDescent="0.3">
      <c r="A498">
        <v>421</v>
      </c>
      <c r="B498">
        <v>11</v>
      </c>
      <c r="C498">
        <v>4</v>
      </c>
      <c r="D498">
        <v>74</v>
      </c>
    </row>
    <row r="499" spans="1:4" x14ac:dyDescent="0.3">
      <c r="A499">
        <v>74</v>
      </c>
      <c r="B499">
        <v>43</v>
      </c>
      <c r="C499">
        <v>4</v>
      </c>
      <c r="D499">
        <v>51</v>
      </c>
    </row>
    <row r="500" spans="1:4" x14ac:dyDescent="0.3">
      <c r="A500">
        <v>548</v>
      </c>
      <c r="B500">
        <v>17</v>
      </c>
      <c r="C500">
        <v>4</v>
      </c>
      <c r="D500">
        <v>94</v>
      </c>
    </row>
    <row r="501" spans="1:4" x14ac:dyDescent="0.3">
      <c r="A501">
        <v>613</v>
      </c>
      <c r="B501">
        <v>32</v>
      </c>
      <c r="C501">
        <v>3</v>
      </c>
      <c r="D501">
        <v>18</v>
      </c>
    </row>
    <row r="502" spans="1:4" x14ac:dyDescent="0.3">
      <c r="A502">
        <v>988</v>
      </c>
      <c r="B502">
        <v>4</v>
      </c>
      <c r="C502">
        <v>5</v>
      </c>
      <c r="D502">
        <v>69</v>
      </c>
    </row>
    <row r="503" spans="1:4" x14ac:dyDescent="0.3">
      <c r="A503">
        <v>512</v>
      </c>
      <c r="B503">
        <v>4</v>
      </c>
      <c r="C503">
        <v>4</v>
      </c>
      <c r="D503">
        <v>24</v>
      </c>
    </row>
    <row r="504" spans="1:4" x14ac:dyDescent="0.3">
      <c r="A504">
        <v>156</v>
      </c>
      <c r="B504">
        <v>17</v>
      </c>
      <c r="C504">
        <v>1</v>
      </c>
      <c r="D504">
        <v>108</v>
      </c>
    </row>
    <row r="505" spans="1:4" x14ac:dyDescent="0.3">
      <c r="A505">
        <v>938</v>
      </c>
      <c r="B505">
        <v>41</v>
      </c>
      <c r="C505">
        <v>4</v>
      </c>
      <c r="D505">
        <v>66</v>
      </c>
    </row>
    <row r="506" spans="1:4" x14ac:dyDescent="0.3">
      <c r="A506">
        <v>255</v>
      </c>
      <c r="B506">
        <v>19</v>
      </c>
      <c r="C506">
        <v>5</v>
      </c>
      <c r="D506">
        <v>78</v>
      </c>
    </row>
    <row r="507" spans="1:4" x14ac:dyDescent="0.3">
      <c r="A507">
        <v>171</v>
      </c>
      <c r="B507">
        <v>5</v>
      </c>
      <c r="C507">
        <v>4</v>
      </c>
      <c r="D507">
        <v>114</v>
      </c>
    </row>
    <row r="508" spans="1:4" x14ac:dyDescent="0.3">
      <c r="A508">
        <v>981</v>
      </c>
      <c r="B508">
        <v>32</v>
      </c>
      <c r="C508">
        <v>3</v>
      </c>
      <c r="D508">
        <v>31</v>
      </c>
    </row>
    <row r="509" spans="1:4" x14ac:dyDescent="0.3">
      <c r="A509">
        <v>728</v>
      </c>
      <c r="B509">
        <v>22</v>
      </c>
      <c r="C509">
        <v>2</v>
      </c>
      <c r="D509">
        <v>73</v>
      </c>
    </row>
    <row r="510" spans="1:4" x14ac:dyDescent="0.3">
      <c r="A510">
        <v>170</v>
      </c>
      <c r="B510">
        <v>6</v>
      </c>
      <c r="C510">
        <v>2</v>
      </c>
      <c r="D510">
        <v>50</v>
      </c>
    </row>
    <row r="511" spans="1:4" x14ac:dyDescent="0.3">
      <c r="A511">
        <v>764</v>
      </c>
      <c r="B511">
        <v>35</v>
      </c>
      <c r="C511">
        <v>5</v>
      </c>
      <c r="D511">
        <v>96</v>
      </c>
    </row>
    <row r="512" spans="1:4" x14ac:dyDescent="0.3">
      <c r="A512">
        <v>872</v>
      </c>
      <c r="B512">
        <v>22</v>
      </c>
      <c r="C512">
        <v>2</v>
      </c>
      <c r="D512">
        <v>80</v>
      </c>
    </row>
    <row r="513" spans="1:4" x14ac:dyDescent="0.3">
      <c r="A513">
        <v>322</v>
      </c>
      <c r="B513">
        <v>1</v>
      </c>
      <c r="C513">
        <v>2</v>
      </c>
      <c r="D513">
        <v>65</v>
      </c>
    </row>
    <row r="514" spans="1:4" x14ac:dyDescent="0.3">
      <c r="A514">
        <v>567</v>
      </c>
      <c r="B514">
        <v>20</v>
      </c>
      <c r="C514">
        <v>1</v>
      </c>
      <c r="D514">
        <v>32</v>
      </c>
    </row>
    <row r="515" spans="1:4" x14ac:dyDescent="0.3">
      <c r="A515">
        <v>456</v>
      </c>
      <c r="B515">
        <v>22</v>
      </c>
      <c r="C515">
        <v>5</v>
      </c>
      <c r="D515">
        <v>117</v>
      </c>
    </row>
    <row r="516" spans="1:4" x14ac:dyDescent="0.3">
      <c r="A516">
        <v>944</v>
      </c>
      <c r="B516">
        <v>48</v>
      </c>
      <c r="C516">
        <v>5</v>
      </c>
      <c r="D516">
        <v>34</v>
      </c>
    </row>
    <row r="517" spans="1:4" x14ac:dyDescent="0.3">
      <c r="A517">
        <v>603</v>
      </c>
      <c r="B517">
        <v>11</v>
      </c>
      <c r="C517">
        <v>2</v>
      </c>
      <c r="D517">
        <v>100</v>
      </c>
    </row>
    <row r="518" spans="1:4" x14ac:dyDescent="0.3">
      <c r="A518">
        <v>790</v>
      </c>
      <c r="B518">
        <v>13</v>
      </c>
      <c r="C518">
        <v>2</v>
      </c>
      <c r="D518">
        <v>114</v>
      </c>
    </row>
    <row r="519" spans="1:4" x14ac:dyDescent="0.3">
      <c r="A519">
        <v>613</v>
      </c>
      <c r="B519">
        <v>42</v>
      </c>
      <c r="C519">
        <v>2</v>
      </c>
      <c r="D519">
        <v>15</v>
      </c>
    </row>
    <row r="520" spans="1:4" x14ac:dyDescent="0.3">
      <c r="A520">
        <v>155</v>
      </c>
      <c r="B520">
        <v>3</v>
      </c>
      <c r="C520">
        <v>3</v>
      </c>
      <c r="D520">
        <v>43</v>
      </c>
    </row>
    <row r="521" spans="1:4" x14ac:dyDescent="0.3">
      <c r="A521">
        <v>889</v>
      </c>
      <c r="B521">
        <v>9</v>
      </c>
      <c r="C521">
        <v>4</v>
      </c>
      <c r="D521">
        <v>72</v>
      </c>
    </row>
    <row r="522" spans="1:4" x14ac:dyDescent="0.3">
      <c r="A522">
        <v>349</v>
      </c>
      <c r="B522">
        <v>12</v>
      </c>
      <c r="C522">
        <v>3</v>
      </c>
      <c r="D522">
        <v>18</v>
      </c>
    </row>
    <row r="523" spans="1:4" x14ac:dyDescent="0.3">
      <c r="A523">
        <v>451</v>
      </c>
      <c r="B523">
        <v>23</v>
      </c>
      <c r="C523">
        <v>5</v>
      </c>
      <c r="D523">
        <v>69</v>
      </c>
    </row>
    <row r="524" spans="1:4" x14ac:dyDescent="0.3">
      <c r="A524">
        <v>876</v>
      </c>
      <c r="B524">
        <v>14</v>
      </c>
      <c r="C524">
        <v>1</v>
      </c>
      <c r="D524">
        <v>58</v>
      </c>
    </row>
    <row r="525" spans="1:4" x14ac:dyDescent="0.3">
      <c r="A525">
        <v>653</v>
      </c>
      <c r="B525">
        <v>33</v>
      </c>
      <c r="C525">
        <v>4</v>
      </c>
      <c r="D525">
        <v>106</v>
      </c>
    </row>
    <row r="526" spans="1:4" x14ac:dyDescent="0.3">
      <c r="A526">
        <v>173</v>
      </c>
      <c r="B526">
        <v>18</v>
      </c>
      <c r="C526">
        <v>1</v>
      </c>
      <c r="D526">
        <v>60</v>
      </c>
    </row>
    <row r="527" spans="1:4" x14ac:dyDescent="0.3">
      <c r="A527">
        <v>10</v>
      </c>
      <c r="B527">
        <v>49</v>
      </c>
      <c r="C527">
        <v>5</v>
      </c>
      <c r="D527">
        <v>69</v>
      </c>
    </row>
    <row r="528" spans="1:4" x14ac:dyDescent="0.3">
      <c r="A528">
        <v>740</v>
      </c>
      <c r="B528">
        <v>41</v>
      </c>
      <c r="C528">
        <v>5</v>
      </c>
      <c r="D528">
        <v>79</v>
      </c>
    </row>
    <row r="529" spans="1:4" x14ac:dyDescent="0.3">
      <c r="A529">
        <v>265</v>
      </c>
      <c r="B529">
        <v>9</v>
      </c>
      <c r="C529">
        <v>1</v>
      </c>
      <c r="D529">
        <v>46</v>
      </c>
    </row>
    <row r="530" spans="1:4" x14ac:dyDescent="0.3">
      <c r="A530">
        <v>438</v>
      </c>
      <c r="B530">
        <v>23</v>
      </c>
      <c r="C530">
        <v>1</v>
      </c>
      <c r="D530">
        <v>40</v>
      </c>
    </row>
    <row r="531" spans="1:4" x14ac:dyDescent="0.3">
      <c r="A531">
        <v>760</v>
      </c>
      <c r="B531">
        <v>10</v>
      </c>
      <c r="C531">
        <v>1</v>
      </c>
      <c r="D531">
        <v>107</v>
      </c>
    </row>
    <row r="532" spans="1:4" x14ac:dyDescent="0.3">
      <c r="A532">
        <v>247</v>
      </c>
      <c r="B532">
        <v>19</v>
      </c>
      <c r="C532">
        <v>5</v>
      </c>
      <c r="D532">
        <v>50</v>
      </c>
    </row>
    <row r="533" spans="1:4" x14ac:dyDescent="0.3">
      <c r="A533">
        <v>667</v>
      </c>
      <c r="B533">
        <v>47</v>
      </c>
      <c r="C533">
        <v>2</v>
      </c>
      <c r="D533">
        <v>71</v>
      </c>
    </row>
    <row r="534" spans="1:4" x14ac:dyDescent="0.3">
      <c r="A534">
        <v>546</v>
      </c>
      <c r="B534">
        <v>5</v>
      </c>
      <c r="C534">
        <v>1</v>
      </c>
      <c r="D534">
        <v>102</v>
      </c>
    </row>
    <row r="535" spans="1:4" x14ac:dyDescent="0.3">
      <c r="A535">
        <v>499</v>
      </c>
      <c r="B535">
        <v>47</v>
      </c>
      <c r="C535">
        <v>4</v>
      </c>
      <c r="D535">
        <v>67</v>
      </c>
    </row>
    <row r="536" spans="1:4" x14ac:dyDescent="0.3">
      <c r="A536">
        <v>129</v>
      </c>
      <c r="B536">
        <v>23</v>
      </c>
      <c r="C536">
        <v>5</v>
      </c>
      <c r="D536">
        <v>23</v>
      </c>
    </row>
    <row r="537" spans="1:4" x14ac:dyDescent="0.3">
      <c r="A537">
        <v>672</v>
      </c>
      <c r="B537">
        <v>30</v>
      </c>
      <c r="C537">
        <v>3</v>
      </c>
      <c r="D537">
        <v>45</v>
      </c>
    </row>
    <row r="538" spans="1:4" x14ac:dyDescent="0.3">
      <c r="A538">
        <v>601</v>
      </c>
      <c r="B538">
        <v>25</v>
      </c>
      <c r="C538">
        <v>3</v>
      </c>
      <c r="D538">
        <v>45</v>
      </c>
    </row>
    <row r="539" spans="1:4" x14ac:dyDescent="0.3">
      <c r="A539">
        <v>605</v>
      </c>
      <c r="B539">
        <v>28</v>
      </c>
      <c r="C539">
        <v>4</v>
      </c>
      <c r="D539">
        <v>88</v>
      </c>
    </row>
    <row r="540" spans="1:4" x14ac:dyDescent="0.3">
      <c r="A540">
        <v>327</v>
      </c>
      <c r="B540">
        <v>34</v>
      </c>
      <c r="C540">
        <v>2</v>
      </c>
      <c r="D540">
        <v>17</v>
      </c>
    </row>
    <row r="541" spans="1:4" x14ac:dyDescent="0.3">
      <c r="A541">
        <v>753</v>
      </c>
      <c r="B541">
        <v>45</v>
      </c>
      <c r="C541">
        <v>1</v>
      </c>
      <c r="D541">
        <v>35</v>
      </c>
    </row>
    <row r="542" spans="1:4" x14ac:dyDescent="0.3">
      <c r="A542">
        <v>835</v>
      </c>
      <c r="B542">
        <v>48</v>
      </c>
      <c r="C542">
        <v>5</v>
      </c>
      <c r="D542">
        <v>45</v>
      </c>
    </row>
    <row r="543" spans="1:4" x14ac:dyDescent="0.3">
      <c r="A543">
        <v>980</v>
      </c>
      <c r="B543">
        <v>47</v>
      </c>
      <c r="C543">
        <v>1</v>
      </c>
      <c r="D543">
        <v>57</v>
      </c>
    </row>
    <row r="544" spans="1:4" x14ac:dyDescent="0.3">
      <c r="A544">
        <v>404</v>
      </c>
      <c r="B544">
        <v>25</v>
      </c>
      <c r="C544">
        <v>5</v>
      </c>
      <c r="D544">
        <v>94</v>
      </c>
    </row>
    <row r="545" spans="1:4" x14ac:dyDescent="0.3">
      <c r="A545">
        <v>629</v>
      </c>
      <c r="B545">
        <v>10</v>
      </c>
      <c r="C545">
        <v>3</v>
      </c>
      <c r="D545">
        <v>37</v>
      </c>
    </row>
    <row r="546" spans="1:4" x14ac:dyDescent="0.3">
      <c r="A546">
        <v>606</v>
      </c>
      <c r="B546">
        <v>14</v>
      </c>
      <c r="C546">
        <v>1</v>
      </c>
      <c r="D546">
        <v>77</v>
      </c>
    </row>
    <row r="547" spans="1:4" x14ac:dyDescent="0.3">
      <c r="A547">
        <v>675</v>
      </c>
      <c r="B547">
        <v>42</v>
      </c>
      <c r="C547">
        <v>4</v>
      </c>
      <c r="D547">
        <v>71</v>
      </c>
    </row>
    <row r="548" spans="1:4" x14ac:dyDescent="0.3">
      <c r="A548">
        <v>611</v>
      </c>
      <c r="B548">
        <v>46</v>
      </c>
      <c r="C548">
        <v>2</v>
      </c>
      <c r="D548">
        <v>89</v>
      </c>
    </row>
    <row r="549" spans="1:4" x14ac:dyDescent="0.3">
      <c r="A549">
        <v>625</v>
      </c>
      <c r="B549">
        <v>30</v>
      </c>
      <c r="C549">
        <v>4</v>
      </c>
      <c r="D549">
        <v>95</v>
      </c>
    </row>
    <row r="550" spans="1:4" x14ac:dyDescent="0.3">
      <c r="A550">
        <v>359</v>
      </c>
      <c r="B550">
        <v>41</v>
      </c>
      <c r="C550">
        <v>2</v>
      </c>
      <c r="D550">
        <v>85</v>
      </c>
    </row>
    <row r="551" spans="1:4" x14ac:dyDescent="0.3">
      <c r="A551">
        <v>603</v>
      </c>
      <c r="B551">
        <v>25</v>
      </c>
      <c r="C551">
        <v>1</v>
      </c>
      <c r="D551">
        <v>89</v>
      </c>
    </row>
    <row r="552" spans="1:4" x14ac:dyDescent="0.3">
      <c r="A552">
        <v>858</v>
      </c>
      <c r="B552">
        <v>14</v>
      </c>
      <c r="C552">
        <v>1</v>
      </c>
      <c r="D552">
        <v>60</v>
      </c>
    </row>
    <row r="553" spans="1:4" x14ac:dyDescent="0.3">
      <c r="A553">
        <v>718</v>
      </c>
      <c r="B553">
        <v>35</v>
      </c>
      <c r="C553">
        <v>2</v>
      </c>
      <c r="D553">
        <v>113</v>
      </c>
    </row>
    <row r="554" spans="1:4" x14ac:dyDescent="0.3">
      <c r="A554">
        <v>17</v>
      </c>
      <c r="B554">
        <v>48</v>
      </c>
      <c r="C554">
        <v>3</v>
      </c>
      <c r="D554">
        <v>111</v>
      </c>
    </row>
    <row r="555" spans="1:4" x14ac:dyDescent="0.3">
      <c r="A555">
        <v>274</v>
      </c>
      <c r="B555">
        <v>34</v>
      </c>
      <c r="C555">
        <v>5</v>
      </c>
      <c r="D555">
        <v>51</v>
      </c>
    </row>
    <row r="556" spans="1:4" x14ac:dyDescent="0.3">
      <c r="A556">
        <v>685</v>
      </c>
      <c r="B556">
        <v>10</v>
      </c>
      <c r="C556">
        <v>4</v>
      </c>
      <c r="D556">
        <v>110</v>
      </c>
    </row>
    <row r="557" spans="1:4" x14ac:dyDescent="0.3">
      <c r="A557">
        <v>116</v>
      </c>
      <c r="B557">
        <v>35</v>
      </c>
      <c r="C557">
        <v>4</v>
      </c>
      <c r="D557">
        <v>38</v>
      </c>
    </row>
    <row r="558" spans="1:4" x14ac:dyDescent="0.3">
      <c r="A558">
        <v>861</v>
      </c>
      <c r="B558">
        <v>11</v>
      </c>
      <c r="C558">
        <v>4</v>
      </c>
      <c r="D558">
        <v>91</v>
      </c>
    </row>
    <row r="559" spans="1:4" x14ac:dyDescent="0.3">
      <c r="A559">
        <v>980</v>
      </c>
      <c r="B559">
        <v>11</v>
      </c>
      <c r="C559">
        <v>1</v>
      </c>
      <c r="D559">
        <v>19</v>
      </c>
    </row>
    <row r="560" spans="1:4" x14ac:dyDescent="0.3">
      <c r="A560">
        <v>693</v>
      </c>
      <c r="B560">
        <v>21</v>
      </c>
      <c r="C560">
        <v>4</v>
      </c>
      <c r="D560">
        <v>115</v>
      </c>
    </row>
    <row r="561" spans="1:4" x14ac:dyDescent="0.3">
      <c r="A561">
        <v>91</v>
      </c>
      <c r="B561">
        <v>21</v>
      </c>
      <c r="C561">
        <v>5</v>
      </c>
      <c r="D561">
        <v>48</v>
      </c>
    </row>
    <row r="562" spans="1:4" x14ac:dyDescent="0.3">
      <c r="A562">
        <v>82</v>
      </c>
      <c r="B562">
        <v>22</v>
      </c>
      <c r="C562">
        <v>5</v>
      </c>
      <c r="D562">
        <v>91</v>
      </c>
    </row>
    <row r="563" spans="1:4" x14ac:dyDescent="0.3">
      <c r="A563">
        <v>324</v>
      </c>
      <c r="B563">
        <v>45</v>
      </c>
      <c r="C563">
        <v>2</v>
      </c>
      <c r="D563">
        <v>10</v>
      </c>
    </row>
    <row r="564" spans="1:4" x14ac:dyDescent="0.3">
      <c r="A564">
        <v>961</v>
      </c>
      <c r="B564">
        <v>7</v>
      </c>
      <c r="C564">
        <v>1</v>
      </c>
      <c r="D564">
        <v>48</v>
      </c>
    </row>
    <row r="565" spans="1:4" x14ac:dyDescent="0.3">
      <c r="A565">
        <v>114</v>
      </c>
      <c r="B565">
        <v>17</v>
      </c>
      <c r="C565">
        <v>5</v>
      </c>
      <c r="D565">
        <v>30</v>
      </c>
    </row>
    <row r="566" spans="1:4" x14ac:dyDescent="0.3">
      <c r="A566">
        <v>769</v>
      </c>
      <c r="B566">
        <v>2</v>
      </c>
      <c r="C566">
        <v>3</v>
      </c>
      <c r="D566">
        <v>74</v>
      </c>
    </row>
    <row r="567" spans="1:4" x14ac:dyDescent="0.3">
      <c r="A567">
        <v>58</v>
      </c>
      <c r="B567">
        <v>12</v>
      </c>
      <c r="C567">
        <v>1</v>
      </c>
      <c r="D567">
        <v>24</v>
      </c>
    </row>
    <row r="568" spans="1:4" x14ac:dyDescent="0.3">
      <c r="A568">
        <v>154</v>
      </c>
      <c r="B568">
        <v>42</v>
      </c>
      <c r="C568">
        <v>1</v>
      </c>
      <c r="D568">
        <v>13</v>
      </c>
    </row>
    <row r="569" spans="1:4" x14ac:dyDescent="0.3">
      <c r="A569">
        <v>877</v>
      </c>
      <c r="B569">
        <v>18</v>
      </c>
      <c r="C569">
        <v>5</v>
      </c>
      <c r="D569">
        <v>69</v>
      </c>
    </row>
    <row r="570" spans="1:4" x14ac:dyDescent="0.3">
      <c r="A570">
        <v>404</v>
      </c>
      <c r="B570">
        <v>11</v>
      </c>
      <c r="C570">
        <v>3</v>
      </c>
      <c r="D570">
        <v>70</v>
      </c>
    </row>
    <row r="571" spans="1:4" x14ac:dyDescent="0.3">
      <c r="A571">
        <v>628</v>
      </c>
      <c r="B571">
        <v>16</v>
      </c>
      <c r="C571">
        <v>2</v>
      </c>
      <c r="D571">
        <v>29</v>
      </c>
    </row>
    <row r="572" spans="1:4" x14ac:dyDescent="0.3">
      <c r="A572">
        <v>855</v>
      </c>
      <c r="B572">
        <v>49</v>
      </c>
      <c r="C572">
        <v>5</v>
      </c>
      <c r="D572">
        <v>19</v>
      </c>
    </row>
    <row r="573" spans="1:4" x14ac:dyDescent="0.3">
      <c r="A573">
        <v>266</v>
      </c>
      <c r="B573">
        <v>18</v>
      </c>
      <c r="C573">
        <v>3</v>
      </c>
      <c r="D573">
        <v>96</v>
      </c>
    </row>
    <row r="574" spans="1:4" x14ac:dyDescent="0.3">
      <c r="A574">
        <v>315</v>
      </c>
      <c r="B574">
        <v>35</v>
      </c>
      <c r="C574">
        <v>1</v>
      </c>
      <c r="D574">
        <v>114</v>
      </c>
    </row>
    <row r="575" spans="1:4" x14ac:dyDescent="0.3">
      <c r="A575">
        <v>715</v>
      </c>
      <c r="B575">
        <v>26</v>
      </c>
      <c r="C575">
        <v>3</v>
      </c>
      <c r="D575">
        <v>43</v>
      </c>
    </row>
    <row r="576" spans="1:4" x14ac:dyDescent="0.3">
      <c r="A576">
        <v>41</v>
      </c>
      <c r="B576">
        <v>16</v>
      </c>
      <c r="C576">
        <v>1</v>
      </c>
      <c r="D576">
        <v>119</v>
      </c>
    </row>
    <row r="577" spans="1:4" x14ac:dyDescent="0.3">
      <c r="A577">
        <v>105</v>
      </c>
      <c r="B577">
        <v>6</v>
      </c>
      <c r="C577">
        <v>5</v>
      </c>
      <c r="D577">
        <v>57</v>
      </c>
    </row>
    <row r="578" spans="1:4" x14ac:dyDescent="0.3">
      <c r="A578">
        <v>901</v>
      </c>
      <c r="B578">
        <v>44</v>
      </c>
      <c r="C578">
        <v>5</v>
      </c>
      <c r="D578">
        <v>42</v>
      </c>
    </row>
    <row r="579" spans="1:4" x14ac:dyDescent="0.3">
      <c r="A579">
        <v>890</v>
      </c>
      <c r="B579">
        <v>43</v>
      </c>
      <c r="C579">
        <v>4</v>
      </c>
      <c r="D579">
        <v>107</v>
      </c>
    </row>
    <row r="580" spans="1:4" x14ac:dyDescent="0.3">
      <c r="A580">
        <v>193</v>
      </c>
      <c r="B580">
        <v>47</v>
      </c>
      <c r="C580">
        <v>4</v>
      </c>
      <c r="D580">
        <v>112</v>
      </c>
    </row>
    <row r="581" spans="1:4" x14ac:dyDescent="0.3">
      <c r="A581">
        <v>401</v>
      </c>
      <c r="B581">
        <v>47</v>
      </c>
      <c r="C581">
        <v>4</v>
      </c>
      <c r="D581">
        <v>70</v>
      </c>
    </row>
    <row r="582" spans="1:4" x14ac:dyDescent="0.3">
      <c r="A582">
        <v>278</v>
      </c>
      <c r="B582">
        <v>48</v>
      </c>
      <c r="C582">
        <v>5</v>
      </c>
      <c r="D582">
        <v>19</v>
      </c>
    </row>
    <row r="583" spans="1:4" x14ac:dyDescent="0.3">
      <c r="A583">
        <v>354</v>
      </c>
      <c r="B583">
        <v>42</v>
      </c>
      <c r="C583">
        <v>2</v>
      </c>
      <c r="D583">
        <v>63</v>
      </c>
    </row>
    <row r="584" spans="1:4" x14ac:dyDescent="0.3">
      <c r="A584">
        <v>749</v>
      </c>
      <c r="B584">
        <v>12</v>
      </c>
      <c r="C584">
        <v>5</v>
      </c>
      <c r="D584">
        <v>93</v>
      </c>
    </row>
    <row r="585" spans="1:4" x14ac:dyDescent="0.3">
      <c r="A585">
        <v>937</v>
      </c>
      <c r="B585">
        <v>13</v>
      </c>
      <c r="C585">
        <v>3</v>
      </c>
      <c r="D585">
        <v>74</v>
      </c>
    </row>
    <row r="586" spans="1:4" x14ac:dyDescent="0.3">
      <c r="A586">
        <v>733</v>
      </c>
      <c r="B586">
        <v>4</v>
      </c>
      <c r="C586">
        <v>5</v>
      </c>
      <c r="D586">
        <v>86</v>
      </c>
    </row>
    <row r="587" spans="1:4" x14ac:dyDescent="0.3">
      <c r="A587">
        <v>580</v>
      </c>
      <c r="B587">
        <v>39</v>
      </c>
      <c r="C587">
        <v>5</v>
      </c>
      <c r="D587">
        <v>10</v>
      </c>
    </row>
    <row r="588" spans="1:4" x14ac:dyDescent="0.3">
      <c r="A588">
        <v>709</v>
      </c>
      <c r="B588">
        <v>2</v>
      </c>
      <c r="C588">
        <v>1</v>
      </c>
      <c r="D588">
        <v>14</v>
      </c>
    </row>
    <row r="589" spans="1:4" x14ac:dyDescent="0.3">
      <c r="A589">
        <v>256</v>
      </c>
      <c r="B589">
        <v>26</v>
      </c>
      <c r="C589">
        <v>1</v>
      </c>
      <c r="D589">
        <v>89</v>
      </c>
    </row>
    <row r="590" spans="1:4" x14ac:dyDescent="0.3">
      <c r="A590">
        <v>651</v>
      </c>
      <c r="B590">
        <v>27</v>
      </c>
      <c r="C590">
        <v>1</v>
      </c>
      <c r="D590">
        <v>24</v>
      </c>
    </row>
    <row r="591" spans="1:4" x14ac:dyDescent="0.3">
      <c r="A591">
        <v>824</v>
      </c>
      <c r="B591">
        <v>27</v>
      </c>
      <c r="C591">
        <v>5</v>
      </c>
      <c r="D591">
        <v>37</v>
      </c>
    </row>
    <row r="592" spans="1:4" x14ac:dyDescent="0.3">
      <c r="A592">
        <v>947</v>
      </c>
      <c r="B592">
        <v>15</v>
      </c>
      <c r="C592">
        <v>2</v>
      </c>
      <c r="D592">
        <v>104</v>
      </c>
    </row>
    <row r="593" spans="1:4" x14ac:dyDescent="0.3">
      <c r="A593">
        <v>661</v>
      </c>
      <c r="B593">
        <v>8</v>
      </c>
      <c r="C593">
        <v>3</v>
      </c>
      <c r="D593">
        <v>32</v>
      </c>
    </row>
    <row r="594" spans="1:4" x14ac:dyDescent="0.3">
      <c r="A594">
        <v>99</v>
      </c>
      <c r="B594">
        <v>7</v>
      </c>
      <c r="C594">
        <v>3</v>
      </c>
      <c r="D594">
        <v>118</v>
      </c>
    </row>
    <row r="595" spans="1:4" x14ac:dyDescent="0.3">
      <c r="A595">
        <v>588</v>
      </c>
      <c r="B595">
        <v>47</v>
      </c>
      <c r="C595">
        <v>2</v>
      </c>
      <c r="D595">
        <v>116</v>
      </c>
    </row>
    <row r="596" spans="1:4" x14ac:dyDescent="0.3">
      <c r="A596">
        <v>282</v>
      </c>
      <c r="B596">
        <v>46</v>
      </c>
      <c r="C596">
        <v>2</v>
      </c>
      <c r="D596">
        <v>26</v>
      </c>
    </row>
    <row r="597" spans="1:4" x14ac:dyDescent="0.3">
      <c r="A597">
        <v>883</v>
      </c>
      <c r="B597">
        <v>40</v>
      </c>
      <c r="C597">
        <v>3</v>
      </c>
      <c r="D597">
        <v>107</v>
      </c>
    </row>
    <row r="598" spans="1:4" x14ac:dyDescent="0.3">
      <c r="A598">
        <v>403</v>
      </c>
      <c r="B598">
        <v>12</v>
      </c>
      <c r="C598">
        <v>4</v>
      </c>
      <c r="D598">
        <v>22</v>
      </c>
    </row>
    <row r="599" spans="1:4" x14ac:dyDescent="0.3">
      <c r="A599">
        <v>109</v>
      </c>
      <c r="B599">
        <v>13</v>
      </c>
      <c r="C599">
        <v>1</v>
      </c>
      <c r="D599">
        <v>23</v>
      </c>
    </row>
    <row r="600" spans="1:4" x14ac:dyDescent="0.3">
      <c r="A600">
        <v>700</v>
      </c>
      <c r="B600">
        <v>43</v>
      </c>
      <c r="C600">
        <v>1</v>
      </c>
      <c r="D600">
        <v>20</v>
      </c>
    </row>
    <row r="601" spans="1:4" x14ac:dyDescent="0.3">
      <c r="A601">
        <v>199</v>
      </c>
      <c r="B601">
        <v>17</v>
      </c>
      <c r="C601">
        <v>3</v>
      </c>
      <c r="D601">
        <v>37</v>
      </c>
    </row>
    <row r="602" spans="1:4" x14ac:dyDescent="0.3">
      <c r="A602">
        <v>303</v>
      </c>
      <c r="B602">
        <v>17</v>
      </c>
      <c r="C602">
        <v>2</v>
      </c>
      <c r="D602">
        <v>51</v>
      </c>
    </row>
    <row r="603" spans="1:4" x14ac:dyDescent="0.3">
      <c r="A603">
        <v>327</v>
      </c>
      <c r="B603">
        <v>36</v>
      </c>
      <c r="C603">
        <v>4</v>
      </c>
      <c r="D603">
        <v>105</v>
      </c>
    </row>
    <row r="604" spans="1:4" x14ac:dyDescent="0.3">
      <c r="A604">
        <v>154</v>
      </c>
      <c r="B604">
        <v>21</v>
      </c>
      <c r="C604">
        <v>3</v>
      </c>
      <c r="D604">
        <v>108</v>
      </c>
    </row>
    <row r="605" spans="1:4" x14ac:dyDescent="0.3">
      <c r="A605">
        <v>552</v>
      </c>
      <c r="B605">
        <v>8</v>
      </c>
      <c r="C605">
        <v>1</v>
      </c>
      <c r="D605">
        <v>70</v>
      </c>
    </row>
    <row r="606" spans="1:4" x14ac:dyDescent="0.3">
      <c r="A606">
        <v>645</v>
      </c>
      <c r="B606">
        <v>5</v>
      </c>
      <c r="C606">
        <v>5</v>
      </c>
      <c r="D606">
        <v>73</v>
      </c>
    </row>
    <row r="607" spans="1:4" x14ac:dyDescent="0.3">
      <c r="A607">
        <v>405</v>
      </c>
      <c r="B607">
        <v>26</v>
      </c>
      <c r="C607">
        <v>2</v>
      </c>
      <c r="D607">
        <v>40</v>
      </c>
    </row>
    <row r="608" spans="1:4" x14ac:dyDescent="0.3">
      <c r="A608">
        <v>462</v>
      </c>
      <c r="B608">
        <v>16</v>
      </c>
      <c r="C608">
        <v>5</v>
      </c>
      <c r="D608">
        <v>90</v>
      </c>
    </row>
    <row r="609" spans="1:4" x14ac:dyDescent="0.3">
      <c r="A609">
        <v>132</v>
      </c>
      <c r="B609">
        <v>36</v>
      </c>
      <c r="C609">
        <v>3</v>
      </c>
      <c r="D609">
        <v>82</v>
      </c>
    </row>
    <row r="610" spans="1:4" x14ac:dyDescent="0.3">
      <c r="A610">
        <v>791</v>
      </c>
      <c r="B610">
        <v>28</v>
      </c>
      <c r="C610">
        <v>1</v>
      </c>
      <c r="D610">
        <v>19</v>
      </c>
    </row>
    <row r="611" spans="1:4" x14ac:dyDescent="0.3">
      <c r="A611">
        <v>874</v>
      </c>
      <c r="B611">
        <v>29</v>
      </c>
      <c r="C611">
        <v>4</v>
      </c>
      <c r="D611">
        <v>17</v>
      </c>
    </row>
    <row r="612" spans="1:4" x14ac:dyDescent="0.3">
      <c r="A612">
        <v>84</v>
      </c>
      <c r="B612">
        <v>47</v>
      </c>
      <c r="C612">
        <v>5</v>
      </c>
      <c r="D612">
        <v>30</v>
      </c>
    </row>
    <row r="613" spans="1:4" x14ac:dyDescent="0.3">
      <c r="A613">
        <v>399</v>
      </c>
      <c r="B613">
        <v>12</v>
      </c>
      <c r="C613">
        <v>4</v>
      </c>
      <c r="D613">
        <v>86</v>
      </c>
    </row>
    <row r="614" spans="1:4" x14ac:dyDescent="0.3">
      <c r="A614">
        <v>754</v>
      </c>
      <c r="B614">
        <v>37</v>
      </c>
      <c r="C614">
        <v>1</v>
      </c>
      <c r="D614">
        <v>68</v>
      </c>
    </row>
    <row r="615" spans="1:4" x14ac:dyDescent="0.3">
      <c r="A615">
        <v>628</v>
      </c>
      <c r="B615">
        <v>30</v>
      </c>
      <c r="C615">
        <v>5</v>
      </c>
      <c r="D615">
        <v>59</v>
      </c>
    </row>
    <row r="616" spans="1:4" x14ac:dyDescent="0.3">
      <c r="A616">
        <v>109</v>
      </c>
      <c r="B616">
        <v>23</v>
      </c>
      <c r="C616">
        <v>4</v>
      </c>
      <c r="D616">
        <v>78</v>
      </c>
    </row>
    <row r="617" spans="1:4" x14ac:dyDescent="0.3">
      <c r="A617">
        <v>221</v>
      </c>
      <c r="B617">
        <v>16</v>
      </c>
      <c r="C617">
        <v>4</v>
      </c>
      <c r="D617">
        <v>79</v>
      </c>
    </row>
    <row r="618" spans="1:4" x14ac:dyDescent="0.3">
      <c r="A618">
        <v>904</v>
      </c>
      <c r="B618">
        <v>14</v>
      </c>
      <c r="C618">
        <v>5</v>
      </c>
      <c r="D618">
        <v>39</v>
      </c>
    </row>
    <row r="619" spans="1:4" x14ac:dyDescent="0.3">
      <c r="A619">
        <v>553</v>
      </c>
      <c r="B619">
        <v>10</v>
      </c>
      <c r="C619">
        <v>1</v>
      </c>
      <c r="D619">
        <v>104</v>
      </c>
    </row>
    <row r="620" spans="1:4" x14ac:dyDescent="0.3">
      <c r="A620">
        <v>368</v>
      </c>
      <c r="B620">
        <v>7</v>
      </c>
      <c r="C620">
        <v>4</v>
      </c>
      <c r="D620">
        <v>26</v>
      </c>
    </row>
    <row r="621" spans="1:4" x14ac:dyDescent="0.3">
      <c r="A621">
        <v>147</v>
      </c>
      <c r="B621">
        <v>45</v>
      </c>
      <c r="C621">
        <v>3</v>
      </c>
      <c r="D621">
        <v>84</v>
      </c>
    </row>
    <row r="622" spans="1:4" x14ac:dyDescent="0.3">
      <c r="A622">
        <v>112</v>
      </c>
      <c r="B622">
        <v>37</v>
      </c>
      <c r="C622">
        <v>5</v>
      </c>
      <c r="D622">
        <v>29</v>
      </c>
    </row>
    <row r="623" spans="1:4" x14ac:dyDescent="0.3">
      <c r="A623">
        <v>615</v>
      </c>
      <c r="B623">
        <v>29</v>
      </c>
      <c r="C623">
        <v>2</v>
      </c>
      <c r="D623">
        <v>57</v>
      </c>
    </row>
    <row r="624" spans="1:4" x14ac:dyDescent="0.3">
      <c r="A624">
        <v>558</v>
      </c>
      <c r="B624">
        <v>3</v>
      </c>
      <c r="C624">
        <v>2</v>
      </c>
      <c r="D624">
        <v>82</v>
      </c>
    </row>
    <row r="625" spans="1:4" x14ac:dyDescent="0.3">
      <c r="A625">
        <v>924</v>
      </c>
      <c r="B625">
        <v>15</v>
      </c>
      <c r="C625">
        <v>1</v>
      </c>
      <c r="D625">
        <v>11</v>
      </c>
    </row>
    <row r="626" spans="1:4" x14ac:dyDescent="0.3">
      <c r="A626">
        <v>494</v>
      </c>
      <c r="B626">
        <v>36</v>
      </c>
      <c r="C626">
        <v>3</v>
      </c>
      <c r="D626">
        <v>46</v>
      </c>
    </row>
    <row r="627" spans="1:4" x14ac:dyDescent="0.3">
      <c r="A627">
        <v>505</v>
      </c>
      <c r="B627">
        <v>47</v>
      </c>
      <c r="C627">
        <v>4</v>
      </c>
      <c r="D627">
        <v>10</v>
      </c>
    </row>
    <row r="628" spans="1:4" x14ac:dyDescent="0.3">
      <c r="A628">
        <v>475</v>
      </c>
      <c r="B628">
        <v>46</v>
      </c>
      <c r="C628">
        <v>2</v>
      </c>
      <c r="D628">
        <v>13</v>
      </c>
    </row>
    <row r="629" spans="1:4" x14ac:dyDescent="0.3">
      <c r="A629">
        <v>836</v>
      </c>
      <c r="B629">
        <v>19</v>
      </c>
      <c r="C629">
        <v>1</v>
      </c>
      <c r="D629">
        <v>109</v>
      </c>
    </row>
    <row r="630" spans="1:4" x14ac:dyDescent="0.3">
      <c r="A630">
        <v>890</v>
      </c>
      <c r="B630">
        <v>13</v>
      </c>
      <c r="C630">
        <v>3</v>
      </c>
      <c r="D630">
        <v>63</v>
      </c>
    </row>
    <row r="631" spans="1:4" x14ac:dyDescent="0.3">
      <c r="A631">
        <v>271</v>
      </c>
      <c r="B631">
        <v>42</v>
      </c>
      <c r="C631">
        <v>3</v>
      </c>
      <c r="D631">
        <v>34</v>
      </c>
    </row>
    <row r="632" spans="1:4" x14ac:dyDescent="0.3">
      <c r="A632">
        <v>995</v>
      </c>
      <c r="B632">
        <v>21</v>
      </c>
      <c r="C632">
        <v>1</v>
      </c>
      <c r="D632">
        <v>12</v>
      </c>
    </row>
    <row r="633" spans="1:4" x14ac:dyDescent="0.3">
      <c r="A633">
        <v>421</v>
      </c>
      <c r="B633">
        <v>37</v>
      </c>
      <c r="C633">
        <v>1</v>
      </c>
      <c r="D633">
        <v>18</v>
      </c>
    </row>
    <row r="634" spans="1:4" x14ac:dyDescent="0.3">
      <c r="A634">
        <v>897</v>
      </c>
      <c r="B634">
        <v>27</v>
      </c>
      <c r="C634">
        <v>4</v>
      </c>
      <c r="D634">
        <v>95</v>
      </c>
    </row>
    <row r="635" spans="1:4" x14ac:dyDescent="0.3">
      <c r="A635">
        <v>707</v>
      </c>
      <c r="B635">
        <v>29</v>
      </c>
      <c r="C635">
        <v>1</v>
      </c>
      <c r="D635">
        <v>96</v>
      </c>
    </row>
    <row r="636" spans="1:4" x14ac:dyDescent="0.3">
      <c r="A636">
        <v>367</v>
      </c>
      <c r="B636">
        <v>20</v>
      </c>
      <c r="C636">
        <v>4</v>
      </c>
      <c r="D636">
        <v>85</v>
      </c>
    </row>
    <row r="637" spans="1:4" x14ac:dyDescent="0.3">
      <c r="A637">
        <v>280</v>
      </c>
      <c r="B637">
        <v>25</v>
      </c>
      <c r="C637">
        <v>4</v>
      </c>
      <c r="D637">
        <v>83</v>
      </c>
    </row>
    <row r="638" spans="1:4" x14ac:dyDescent="0.3">
      <c r="A638">
        <v>283</v>
      </c>
      <c r="B638">
        <v>6</v>
      </c>
      <c r="C638">
        <v>5</v>
      </c>
      <c r="D638">
        <v>43</v>
      </c>
    </row>
    <row r="639" spans="1:4" x14ac:dyDescent="0.3">
      <c r="A639">
        <v>40</v>
      </c>
      <c r="B639">
        <v>36</v>
      </c>
      <c r="C639">
        <v>3</v>
      </c>
      <c r="D639">
        <v>52</v>
      </c>
    </row>
    <row r="640" spans="1:4" x14ac:dyDescent="0.3">
      <c r="A640">
        <v>959</v>
      </c>
      <c r="B640">
        <v>2</v>
      </c>
      <c r="C640">
        <v>3</v>
      </c>
      <c r="D640">
        <v>83</v>
      </c>
    </row>
    <row r="641" spans="1:4" x14ac:dyDescent="0.3">
      <c r="A641">
        <v>189</v>
      </c>
      <c r="B641">
        <v>22</v>
      </c>
      <c r="C641">
        <v>3</v>
      </c>
      <c r="D641">
        <v>103</v>
      </c>
    </row>
    <row r="642" spans="1:4" x14ac:dyDescent="0.3">
      <c r="A642">
        <v>164</v>
      </c>
      <c r="B642">
        <v>32</v>
      </c>
      <c r="C642">
        <v>5</v>
      </c>
      <c r="D642">
        <v>31</v>
      </c>
    </row>
    <row r="643" spans="1:4" x14ac:dyDescent="0.3">
      <c r="A643">
        <v>994</v>
      </c>
      <c r="B643">
        <v>16</v>
      </c>
      <c r="C643">
        <v>4</v>
      </c>
      <c r="D643">
        <v>79</v>
      </c>
    </row>
    <row r="644" spans="1:4" x14ac:dyDescent="0.3">
      <c r="A644">
        <v>989</v>
      </c>
      <c r="B644">
        <v>18</v>
      </c>
      <c r="C644">
        <v>4</v>
      </c>
      <c r="D644">
        <v>11</v>
      </c>
    </row>
    <row r="645" spans="1:4" x14ac:dyDescent="0.3">
      <c r="A645">
        <v>536</v>
      </c>
      <c r="B645">
        <v>5</v>
      </c>
      <c r="C645">
        <v>1</v>
      </c>
      <c r="D645">
        <v>103</v>
      </c>
    </row>
    <row r="646" spans="1:4" x14ac:dyDescent="0.3">
      <c r="A646">
        <v>536</v>
      </c>
      <c r="B646">
        <v>36</v>
      </c>
      <c r="C646">
        <v>5</v>
      </c>
      <c r="D646">
        <v>75</v>
      </c>
    </row>
    <row r="647" spans="1:4" x14ac:dyDescent="0.3">
      <c r="A647">
        <v>4</v>
      </c>
      <c r="B647">
        <v>30</v>
      </c>
      <c r="C647">
        <v>1</v>
      </c>
      <c r="D647">
        <v>41</v>
      </c>
    </row>
    <row r="648" spans="1:4" x14ac:dyDescent="0.3">
      <c r="A648">
        <v>835</v>
      </c>
      <c r="B648">
        <v>45</v>
      </c>
      <c r="C648">
        <v>5</v>
      </c>
      <c r="D648">
        <v>115</v>
      </c>
    </row>
    <row r="649" spans="1:4" x14ac:dyDescent="0.3">
      <c r="A649">
        <v>290</v>
      </c>
      <c r="B649">
        <v>19</v>
      </c>
      <c r="C649">
        <v>1</v>
      </c>
      <c r="D649">
        <v>25</v>
      </c>
    </row>
    <row r="650" spans="1:4" x14ac:dyDescent="0.3">
      <c r="A650">
        <v>953</v>
      </c>
      <c r="B650">
        <v>23</v>
      </c>
      <c r="C650">
        <v>2</v>
      </c>
      <c r="D650">
        <v>85</v>
      </c>
    </row>
    <row r="651" spans="1:4" x14ac:dyDescent="0.3">
      <c r="A651">
        <v>433</v>
      </c>
      <c r="B651">
        <v>34</v>
      </c>
      <c r="C651">
        <v>3</v>
      </c>
      <c r="D651">
        <v>10</v>
      </c>
    </row>
    <row r="652" spans="1:4" x14ac:dyDescent="0.3">
      <c r="A652">
        <v>471</v>
      </c>
      <c r="B652">
        <v>13</v>
      </c>
      <c r="C652">
        <v>3</v>
      </c>
      <c r="D652">
        <v>81</v>
      </c>
    </row>
    <row r="653" spans="1:4" x14ac:dyDescent="0.3">
      <c r="A653">
        <v>181</v>
      </c>
      <c r="B653">
        <v>43</v>
      </c>
      <c r="C653">
        <v>4</v>
      </c>
      <c r="D653">
        <v>57</v>
      </c>
    </row>
    <row r="654" spans="1:4" x14ac:dyDescent="0.3">
      <c r="A654">
        <v>248</v>
      </c>
      <c r="B654">
        <v>29</v>
      </c>
      <c r="C654">
        <v>2</v>
      </c>
      <c r="D654">
        <v>59</v>
      </c>
    </row>
    <row r="655" spans="1:4" x14ac:dyDescent="0.3">
      <c r="A655">
        <v>628</v>
      </c>
      <c r="B655">
        <v>36</v>
      </c>
      <c r="C655">
        <v>3</v>
      </c>
      <c r="D655">
        <v>22</v>
      </c>
    </row>
    <row r="656" spans="1:4" x14ac:dyDescent="0.3">
      <c r="A656">
        <v>279</v>
      </c>
      <c r="B656">
        <v>22</v>
      </c>
      <c r="C656">
        <v>4</v>
      </c>
      <c r="D656">
        <v>24</v>
      </c>
    </row>
    <row r="657" spans="1:4" x14ac:dyDescent="0.3">
      <c r="A657">
        <v>877</v>
      </c>
      <c r="B657">
        <v>47</v>
      </c>
      <c r="C657">
        <v>2</v>
      </c>
      <c r="D657">
        <v>62</v>
      </c>
    </row>
    <row r="658" spans="1:4" x14ac:dyDescent="0.3">
      <c r="A658">
        <v>581</v>
      </c>
      <c r="B658">
        <v>36</v>
      </c>
      <c r="C658">
        <v>3</v>
      </c>
      <c r="D658">
        <v>53</v>
      </c>
    </row>
    <row r="659" spans="1:4" x14ac:dyDescent="0.3">
      <c r="A659">
        <v>863</v>
      </c>
      <c r="B659">
        <v>9</v>
      </c>
      <c r="C659">
        <v>1</v>
      </c>
      <c r="D659">
        <v>17</v>
      </c>
    </row>
    <row r="660" spans="1:4" x14ac:dyDescent="0.3">
      <c r="A660">
        <v>254</v>
      </c>
      <c r="B660">
        <v>39</v>
      </c>
      <c r="C660">
        <v>5</v>
      </c>
      <c r="D660">
        <v>83</v>
      </c>
    </row>
    <row r="661" spans="1:4" x14ac:dyDescent="0.3">
      <c r="A661">
        <v>181</v>
      </c>
      <c r="B661">
        <v>19</v>
      </c>
      <c r="C661">
        <v>2</v>
      </c>
      <c r="D661">
        <v>55</v>
      </c>
    </row>
    <row r="662" spans="1:4" x14ac:dyDescent="0.3">
      <c r="A662">
        <v>830</v>
      </c>
      <c r="B662">
        <v>38</v>
      </c>
      <c r="C662">
        <v>4</v>
      </c>
      <c r="D662">
        <v>78</v>
      </c>
    </row>
    <row r="663" spans="1:4" x14ac:dyDescent="0.3">
      <c r="A663">
        <v>681</v>
      </c>
      <c r="B663">
        <v>6</v>
      </c>
      <c r="C663">
        <v>2</v>
      </c>
      <c r="D663">
        <v>28</v>
      </c>
    </row>
    <row r="664" spans="1:4" x14ac:dyDescent="0.3">
      <c r="A664">
        <v>825</v>
      </c>
      <c r="B664">
        <v>47</v>
      </c>
      <c r="C664">
        <v>4</v>
      </c>
      <c r="D664">
        <v>47</v>
      </c>
    </row>
    <row r="665" spans="1:4" x14ac:dyDescent="0.3">
      <c r="A665">
        <v>509</v>
      </c>
      <c r="B665">
        <v>15</v>
      </c>
      <c r="C665">
        <v>2</v>
      </c>
      <c r="D665">
        <v>20</v>
      </c>
    </row>
    <row r="666" spans="1:4" x14ac:dyDescent="0.3">
      <c r="A666">
        <v>761</v>
      </c>
      <c r="B666">
        <v>20</v>
      </c>
      <c r="C666">
        <v>4</v>
      </c>
      <c r="D666">
        <v>52</v>
      </c>
    </row>
    <row r="667" spans="1:4" x14ac:dyDescent="0.3">
      <c r="A667">
        <v>700</v>
      </c>
      <c r="B667">
        <v>9</v>
      </c>
      <c r="C667">
        <v>3</v>
      </c>
      <c r="D667">
        <v>29</v>
      </c>
    </row>
    <row r="668" spans="1:4" x14ac:dyDescent="0.3">
      <c r="A668">
        <v>566</v>
      </c>
      <c r="B668">
        <v>32</v>
      </c>
      <c r="C668">
        <v>1</v>
      </c>
      <c r="D668">
        <v>29</v>
      </c>
    </row>
    <row r="669" spans="1:4" x14ac:dyDescent="0.3">
      <c r="A669">
        <v>326</v>
      </c>
      <c r="B669">
        <v>4</v>
      </c>
      <c r="C669">
        <v>3</v>
      </c>
      <c r="D669">
        <v>30</v>
      </c>
    </row>
    <row r="670" spans="1:4" x14ac:dyDescent="0.3">
      <c r="A670">
        <v>357</v>
      </c>
      <c r="B670">
        <v>50</v>
      </c>
      <c r="C670">
        <v>1</v>
      </c>
      <c r="D670">
        <v>91</v>
      </c>
    </row>
    <row r="671" spans="1:4" x14ac:dyDescent="0.3">
      <c r="A671">
        <v>825</v>
      </c>
      <c r="B671">
        <v>18</v>
      </c>
      <c r="C671">
        <v>3</v>
      </c>
      <c r="D671">
        <v>66</v>
      </c>
    </row>
    <row r="672" spans="1:4" x14ac:dyDescent="0.3">
      <c r="A672">
        <v>650</v>
      </c>
      <c r="B672">
        <v>5</v>
      </c>
      <c r="C672">
        <v>3</v>
      </c>
      <c r="D672">
        <v>59</v>
      </c>
    </row>
    <row r="673" spans="1:4" x14ac:dyDescent="0.3">
      <c r="A673">
        <v>680</v>
      </c>
      <c r="B673">
        <v>20</v>
      </c>
      <c r="C673">
        <v>2</v>
      </c>
      <c r="D673">
        <v>83</v>
      </c>
    </row>
    <row r="674" spans="1:4" x14ac:dyDescent="0.3">
      <c r="A674">
        <v>391</v>
      </c>
      <c r="B674">
        <v>23</v>
      </c>
      <c r="C674">
        <v>5</v>
      </c>
      <c r="D674">
        <v>107</v>
      </c>
    </row>
    <row r="675" spans="1:4" x14ac:dyDescent="0.3">
      <c r="A675">
        <v>615</v>
      </c>
      <c r="B675">
        <v>11</v>
      </c>
      <c r="C675">
        <v>4</v>
      </c>
      <c r="D675">
        <v>35</v>
      </c>
    </row>
    <row r="676" spans="1:4" x14ac:dyDescent="0.3">
      <c r="A676">
        <v>934</v>
      </c>
      <c r="B676">
        <v>37</v>
      </c>
      <c r="C676">
        <v>4</v>
      </c>
      <c r="D676">
        <v>39</v>
      </c>
    </row>
    <row r="677" spans="1:4" x14ac:dyDescent="0.3">
      <c r="A677">
        <v>85</v>
      </c>
      <c r="B677">
        <v>22</v>
      </c>
      <c r="C677">
        <v>4</v>
      </c>
      <c r="D677">
        <v>82</v>
      </c>
    </row>
    <row r="678" spans="1:4" x14ac:dyDescent="0.3">
      <c r="A678">
        <v>317</v>
      </c>
      <c r="B678">
        <v>4</v>
      </c>
      <c r="C678">
        <v>1</v>
      </c>
      <c r="D678">
        <v>119</v>
      </c>
    </row>
    <row r="679" spans="1:4" x14ac:dyDescent="0.3">
      <c r="A679">
        <v>212</v>
      </c>
      <c r="B679">
        <v>29</v>
      </c>
      <c r="C679">
        <v>4</v>
      </c>
      <c r="D679">
        <v>40</v>
      </c>
    </row>
    <row r="680" spans="1:4" x14ac:dyDescent="0.3">
      <c r="A680">
        <v>515</v>
      </c>
      <c r="B680">
        <v>44</v>
      </c>
      <c r="C680">
        <v>4</v>
      </c>
      <c r="D680">
        <v>51</v>
      </c>
    </row>
    <row r="681" spans="1:4" x14ac:dyDescent="0.3">
      <c r="A681">
        <v>384</v>
      </c>
      <c r="B681">
        <v>34</v>
      </c>
      <c r="C681">
        <v>2</v>
      </c>
      <c r="D681">
        <v>77</v>
      </c>
    </row>
    <row r="682" spans="1:4" x14ac:dyDescent="0.3">
      <c r="A682">
        <v>691</v>
      </c>
      <c r="B682">
        <v>13</v>
      </c>
      <c r="C682">
        <v>3</v>
      </c>
      <c r="D682">
        <v>70</v>
      </c>
    </row>
    <row r="683" spans="1:4" x14ac:dyDescent="0.3">
      <c r="A683">
        <v>342</v>
      </c>
      <c r="B683">
        <v>42</v>
      </c>
      <c r="C683">
        <v>4</v>
      </c>
      <c r="D683">
        <v>70</v>
      </c>
    </row>
    <row r="684" spans="1:4" x14ac:dyDescent="0.3">
      <c r="A684">
        <v>815</v>
      </c>
      <c r="B684">
        <v>9</v>
      </c>
      <c r="C684">
        <v>5</v>
      </c>
      <c r="D684">
        <v>79</v>
      </c>
    </row>
    <row r="685" spans="1:4" x14ac:dyDescent="0.3">
      <c r="A685">
        <v>964</v>
      </c>
      <c r="B685">
        <v>42</v>
      </c>
      <c r="C685">
        <v>4</v>
      </c>
      <c r="D685">
        <v>87</v>
      </c>
    </row>
    <row r="686" spans="1:4" x14ac:dyDescent="0.3">
      <c r="A686">
        <v>988</v>
      </c>
      <c r="B686">
        <v>31</v>
      </c>
      <c r="C686">
        <v>1</v>
      </c>
      <c r="D686">
        <v>77</v>
      </c>
    </row>
    <row r="687" spans="1:4" x14ac:dyDescent="0.3">
      <c r="A687">
        <v>844</v>
      </c>
      <c r="B687">
        <v>7</v>
      </c>
      <c r="C687">
        <v>1</v>
      </c>
      <c r="D687">
        <v>99</v>
      </c>
    </row>
    <row r="688" spans="1:4" x14ac:dyDescent="0.3">
      <c r="A688">
        <v>38</v>
      </c>
      <c r="B688">
        <v>4</v>
      </c>
      <c r="C688">
        <v>1</v>
      </c>
      <c r="D688">
        <v>112</v>
      </c>
    </row>
    <row r="689" spans="1:4" x14ac:dyDescent="0.3">
      <c r="A689">
        <v>511</v>
      </c>
      <c r="B689">
        <v>19</v>
      </c>
      <c r="C689">
        <v>4</v>
      </c>
      <c r="D689">
        <v>26</v>
      </c>
    </row>
    <row r="690" spans="1:4" x14ac:dyDescent="0.3">
      <c r="A690">
        <v>420</v>
      </c>
      <c r="B690">
        <v>42</v>
      </c>
      <c r="C690">
        <v>2</v>
      </c>
      <c r="D690">
        <v>28</v>
      </c>
    </row>
    <row r="691" spans="1:4" x14ac:dyDescent="0.3">
      <c r="A691">
        <v>751</v>
      </c>
      <c r="B691">
        <v>30</v>
      </c>
      <c r="C691">
        <v>5</v>
      </c>
      <c r="D691">
        <v>60</v>
      </c>
    </row>
    <row r="692" spans="1:4" x14ac:dyDescent="0.3">
      <c r="A692">
        <v>169</v>
      </c>
      <c r="B692">
        <v>31</v>
      </c>
      <c r="C692">
        <v>4</v>
      </c>
      <c r="D692">
        <v>79</v>
      </c>
    </row>
    <row r="693" spans="1:4" x14ac:dyDescent="0.3">
      <c r="A693">
        <v>965</v>
      </c>
      <c r="B693">
        <v>35</v>
      </c>
      <c r="C693">
        <v>2</v>
      </c>
      <c r="D693">
        <v>72</v>
      </c>
    </row>
    <row r="694" spans="1:4" x14ac:dyDescent="0.3">
      <c r="A694">
        <v>909</v>
      </c>
      <c r="B694">
        <v>21</v>
      </c>
      <c r="C694">
        <v>2</v>
      </c>
      <c r="D694">
        <v>102</v>
      </c>
    </row>
    <row r="695" spans="1:4" x14ac:dyDescent="0.3">
      <c r="A695">
        <v>343</v>
      </c>
      <c r="B695">
        <v>31</v>
      </c>
      <c r="C695">
        <v>4</v>
      </c>
      <c r="D695">
        <v>84</v>
      </c>
    </row>
    <row r="696" spans="1:4" x14ac:dyDescent="0.3">
      <c r="A696">
        <v>826</v>
      </c>
      <c r="B696">
        <v>19</v>
      </c>
      <c r="C696">
        <v>4</v>
      </c>
      <c r="D696">
        <v>89</v>
      </c>
    </row>
    <row r="697" spans="1:4" x14ac:dyDescent="0.3">
      <c r="A697">
        <v>306</v>
      </c>
      <c r="B697">
        <v>31</v>
      </c>
      <c r="C697">
        <v>2</v>
      </c>
      <c r="D697">
        <v>39</v>
      </c>
    </row>
    <row r="698" spans="1:4" x14ac:dyDescent="0.3">
      <c r="A698">
        <v>542</v>
      </c>
      <c r="B698">
        <v>32</v>
      </c>
      <c r="C698">
        <v>2</v>
      </c>
      <c r="D698">
        <v>34</v>
      </c>
    </row>
    <row r="699" spans="1:4" x14ac:dyDescent="0.3">
      <c r="A699">
        <v>702</v>
      </c>
      <c r="B699">
        <v>2</v>
      </c>
      <c r="C699">
        <v>2</v>
      </c>
      <c r="D699">
        <v>113</v>
      </c>
    </row>
    <row r="700" spans="1:4" x14ac:dyDescent="0.3">
      <c r="A700">
        <v>869</v>
      </c>
      <c r="B700">
        <v>10</v>
      </c>
      <c r="C700">
        <v>4</v>
      </c>
      <c r="D700">
        <v>84</v>
      </c>
    </row>
    <row r="701" spans="1:4" x14ac:dyDescent="0.3">
      <c r="A701">
        <v>537</v>
      </c>
      <c r="B701">
        <v>2</v>
      </c>
      <c r="C701">
        <v>2</v>
      </c>
      <c r="D701">
        <v>80</v>
      </c>
    </row>
    <row r="702" spans="1:4" x14ac:dyDescent="0.3">
      <c r="A702">
        <v>112</v>
      </c>
      <c r="B702">
        <v>2</v>
      </c>
      <c r="C702">
        <v>1</v>
      </c>
      <c r="D702">
        <v>35</v>
      </c>
    </row>
    <row r="703" spans="1:4" x14ac:dyDescent="0.3">
      <c r="A703">
        <v>411</v>
      </c>
      <c r="B703">
        <v>24</v>
      </c>
      <c r="C703">
        <v>4</v>
      </c>
      <c r="D703">
        <v>65</v>
      </c>
    </row>
    <row r="704" spans="1:4" x14ac:dyDescent="0.3">
      <c r="A704">
        <v>947</v>
      </c>
      <c r="B704">
        <v>17</v>
      </c>
      <c r="C704">
        <v>1</v>
      </c>
      <c r="D704">
        <v>31</v>
      </c>
    </row>
    <row r="705" spans="1:4" x14ac:dyDescent="0.3">
      <c r="A705">
        <v>206</v>
      </c>
      <c r="B705">
        <v>32</v>
      </c>
      <c r="C705">
        <v>3</v>
      </c>
      <c r="D705">
        <v>98</v>
      </c>
    </row>
    <row r="706" spans="1:4" x14ac:dyDescent="0.3">
      <c r="A706">
        <v>185</v>
      </c>
      <c r="B706">
        <v>16</v>
      </c>
      <c r="C706">
        <v>4</v>
      </c>
      <c r="D706">
        <v>28</v>
      </c>
    </row>
    <row r="707" spans="1:4" x14ac:dyDescent="0.3">
      <c r="A707">
        <v>382</v>
      </c>
      <c r="B707">
        <v>16</v>
      </c>
      <c r="C707">
        <v>3</v>
      </c>
      <c r="D707">
        <v>40</v>
      </c>
    </row>
    <row r="708" spans="1:4" x14ac:dyDescent="0.3">
      <c r="A708">
        <v>496</v>
      </c>
      <c r="B708">
        <v>46</v>
      </c>
      <c r="C708">
        <v>2</v>
      </c>
      <c r="D708">
        <v>35</v>
      </c>
    </row>
    <row r="709" spans="1:4" x14ac:dyDescent="0.3">
      <c r="A709">
        <v>379</v>
      </c>
      <c r="B709">
        <v>39</v>
      </c>
      <c r="C709">
        <v>2</v>
      </c>
      <c r="D709">
        <v>51</v>
      </c>
    </row>
    <row r="710" spans="1:4" x14ac:dyDescent="0.3">
      <c r="A710">
        <v>47</v>
      </c>
      <c r="B710">
        <v>31</v>
      </c>
      <c r="C710">
        <v>5</v>
      </c>
      <c r="D710">
        <v>50</v>
      </c>
    </row>
    <row r="711" spans="1:4" x14ac:dyDescent="0.3">
      <c r="A711">
        <v>886</v>
      </c>
      <c r="B711">
        <v>43</v>
      </c>
      <c r="C711">
        <v>2</v>
      </c>
      <c r="D711">
        <v>109</v>
      </c>
    </row>
    <row r="712" spans="1:4" x14ac:dyDescent="0.3">
      <c r="A712">
        <v>740</v>
      </c>
      <c r="B712">
        <v>24</v>
      </c>
      <c r="C712">
        <v>3</v>
      </c>
      <c r="D712">
        <v>32</v>
      </c>
    </row>
    <row r="713" spans="1:4" x14ac:dyDescent="0.3">
      <c r="A713">
        <v>551</v>
      </c>
      <c r="B713">
        <v>1</v>
      </c>
      <c r="C713">
        <v>2</v>
      </c>
      <c r="D713">
        <v>56</v>
      </c>
    </row>
    <row r="714" spans="1:4" x14ac:dyDescent="0.3">
      <c r="A714">
        <v>528</v>
      </c>
      <c r="B714">
        <v>11</v>
      </c>
      <c r="C714">
        <v>4</v>
      </c>
      <c r="D714">
        <v>22</v>
      </c>
    </row>
    <row r="715" spans="1:4" x14ac:dyDescent="0.3">
      <c r="A715">
        <v>504</v>
      </c>
      <c r="B715">
        <v>21</v>
      </c>
      <c r="C715">
        <v>2</v>
      </c>
      <c r="D715">
        <v>98</v>
      </c>
    </row>
    <row r="716" spans="1:4" x14ac:dyDescent="0.3">
      <c r="A716">
        <v>22</v>
      </c>
      <c r="B716">
        <v>4</v>
      </c>
      <c r="C716">
        <v>5</v>
      </c>
      <c r="D716">
        <v>75</v>
      </c>
    </row>
    <row r="717" spans="1:4" x14ac:dyDescent="0.3">
      <c r="A717">
        <v>213</v>
      </c>
      <c r="B717">
        <v>7</v>
      </c>
      <c r="C717">
        <v>2</v>
      </c>
      <c r="D717">
        <v>75</v>
      </c>
    </row>
    <row r="718" spans="1:4" x14ac:dyDescent="0.3">
      <c r="A718">
        <v>310</v>
      </c>
      <c r="B718">
        <v>26</v>
      </c>
      <c r="C718">
        <v>3</v>
      </c>
      <c r="D718">
        <v>25</v>
      </c>
    </row>
    <row r="719" spans="1:4" x14ac:dyDescent="0.3">
      <c r="A719">
        <v>661</v>
      </c>
      <c r="B719">
        <v>47</v>
      </c>
      <c r="C719">
        <v>3</v>
      </c>
      <c r="D719">
        <v>82</v>
      </c>
    </row>
    <row r="720" spans="1:4" x14ac:dyDescent="0.3">
      <c r="A720">
        <v>968</v>
      </c>
      <c r="B720">
        <v>50</v>
      </c>
      <c r="C720">
        <v>2</v>
      </c>
      <c r="D720">
        <v>37</v>
      </c>
    </row>
    <row r="721" spans="1:4" x14ac:dyDescent="0.3">
      <c r="A721">
        <v>753</v>
      </c>
      <c r="B721">
        <v>12</v>
      </c>
      <c r="C721">
        <v>3</v>
      </c>
      <c r="D721">
        <v>86</v>
      </c>
    </row>
    <row r="722" spans="1:4" x14ac:dyDescent="0.3">
      <c r="A722">
        <v>272</v>
      </c>
      <c r="B722">
        <v>31</v>
      </c>
      <c r="C722">
        <v>3</v>
      </c>
      <c r="D722">
        <v>44</v>
      </c>
    </row>
    <row r="723" spans="1:4" x14ac:dyDescent="0.3">
      <c r="A723">
        <v>571</v>
      </c>
      <c r="B723">
        <v>17</v>
      </c>
      <c r="C723">
        <v>5</v>
      </c>
      <c r="D723">
        <v>50</v>
      </c>
    </row>
    <row r="724" spans="1:4" x14ac:dyDescent="0.3">
      <c r="A724">
        <v>799</v>
      </c>
      <c r="B724">
        <v>33</v>
      </c>
      <c r="C724">
        <v>4</v>
      </c>
      <c r="D724">
        <v>86</v>
      </c>
    </row>
    <row r="725" spans="1:4" x14ac:dyDescent="0.3">
      <c r="A725">
        <v>938</v>
      </c>
      <c r="B725">
        <v>11</v>
      </c>
      <c r="C725">
        <v>5</v>
      </c>
      <c r="D725">
        <v>40</v>
      </c>
    </row>
    <row r="726" spans="1:4" x14ac:dyDescent="0.3">
      <c r="A726">
        <v>202</v>
      </c>
      <c r="B726">
        <v>28</v>
      </c>
      <c r="C726">
        <v>1</v>
      </c>
      <c r="D726">
        <v>94</v>
      </c>
    </row>
    <row r="727" spans="1:4" x14ac:dyDescent="0.3">
      <c r="A727">
        <v>32</v>
      </c>
      <c r="B727">
        <v>32</v>
      </c>
      <c r="C727">
        <v>5</v>
      </c>
      <c r="D727">
        <v>41</v>
      </c>
    </row>
    <row r="728" spans="1:4" x14ac:dyDescent="0.3">
      <c r="A728">
        <v>443</v>
      </c>
      <c r="B728">
        <v>1</v>
      </c>
      <c r="C728">
        <v>2</v>
      </c>
      <c r="D728">
        <v>63</v>
      </c>
    </row>
    <row r="729" spans="1:4" x14ac:dyDescent="0.3">
      <c r="A729">
        <v>162</v>
      </c>
      <c r="B729">
        <v>47</v>
      </c>
      <c r="C729">
        <v>4</v>
      </c>
      <c r="D729">
        <v>107</v>
      </c>
    </row>
    <row r="730" spans="1:4" x14ac:dyDescent="0.3">
      <c r="A730">
        <v>767</v>
      </c>
      <c r="B730">
        <v>28</v>
      </c>
      <c r="C730">
        <v>2</v>
      </c>
      <c r="D730">
        <v>81</v>
      </c>
    </row>
    <row r="731" spans="1:4" x14ac:dyDescent="0.3">
      <c r="A731">
        <v>254</v>
      </c>
      <c r="B731">
        <v>42</v>
      </c>
      <c r="C731">
        <v>1</v>
      </c>
      <c r="D731">
        <v>68</v>
      </c>
    </row>
    <row r="732" spans="1:4" x14ac:dyDescent="0.3">
      <c r="A732">
        <v>521</v>
      </c>
      <c r="B732">
        <v>7</v>
      </c>
      <c r="C732">
        <v>4</v>
      </c>
      <c r="D732">
        <v>50</v>
      </c>
    </row>
    <row r="733" spans="1:4" x14ac:dyDescent="0.3">
      <c r="A733">
        <v>977</v>
      </c>
      <c r="B733">
        <v>2</v>
      </c>
      <c r="C733">
        <v>3</v>
      </c>
      <c r="D733">
        <v>75</v>
      </c>
    </row>
    <row r="734" spans="1:4" x14ac:dyDescent="0.3">
      <c r="A734">
        <v>651</v>
      </c>
      <c r="B734">
        <v>42</v>
      </c>
      <c r="C734">
        <v>5</v>
      </c>
      <c r="D734">
        <v>111</v>
      </c>
    </row>
    <row r="735" spans="1:4" x14ac:dyDescent="0.3">
      <c r="A735">
        <v>480</v>
      </c>
      <c r="B735">
        <v>24</v>
      </c>
      <c r="C735">
        <v>2</v>
      </c>
      <c r="D735">
        <v>105</v>
      </c>
    </row>
    <row r="736" spans="1:4" x14ac:dyDescent="0.3">
      <c r="A736">
        <v>10</v>
      </c>
      <c r="B736">
        <v>4</v>
      </c>
      <c r="C736">
        <v>1</v>
      </c>
      <c r="D736">
        <v>63</v>
      </c>
    </row>
    <row r="737" spans="1:4" x14ac:dyDescent="0.3">
      <c r="A737">
        <v>726</v>
      </c>
      <c r="B737">
        <v>44</v>
      </c>
      <c r="C737">
        <v>3</v>
      </c>
      <c r="D737">
        <v>49</v>
      </c>
    </row>
    <row r="738" spans="1:4" x14ac:dyDescent="0.3">
      <c r="A738">
        <v>505</v>
      </c>
      <c r="B738">
        <v>19</v>
      </c>
      <c r="C738">
        <v>5</v>
      </c>
      <c r="D738">
        <v>37</v>
      </c>
    </row>
    <row r="739" spans="1:4" x14ac:dyDescent="0.3">
      <c r="A739">
        <v>785</v>
      </c>
      <c r="B739">
        <v>26</v>
      </c>
      <c r="C739">
        <v>3</v>
      </c>
      <c r="D739">
        <v>46</v>
      </c>
    </row>
    <row r="740" spans="1:4" x14ac:dyDescent="0.3">
      <c r="A740">
        <v>836</v>
      </c>
      <c r="B740">
        <v>11</v>
      </c>
      <c r="C740">
        <v>5</v>
      </c>
      <c r="D740">
        <v>114</v>
      </c>
    </row>
    <row r="741" spans="1:4" x14ac:dyDescent="0.3">
      <c r="A741">
        <v>560</v>
      </c>
      <c r="B741">
        <v>40</v>
      </c>
      <c r="C741">
        <v>4</v>
      </c>
      <c r="D741">
        <v>74</v>
      </c>
    </row>
    <row r="742" spans="1:4" x14ac:dyDescent="0.3">
      <c r="A742">
        <v>436</v>
      </c>
      <c r="B742">
        <v>50</v>
      </c>
      <c r="C742">
        <v>3</v>
      </c>
      <c r="D742">
        <v>114</v>
      </c>
    </row>
    <row r="743" spans="1:4" x14ac:dyDescent="0.3">
      <c r="A743">
        <v>111</v>
      </c>
      <c r="B743">
        <v>43</v>
      </c>
      <c r="C743">
        <v>3</v>
      </c>
      <c r="D743">
        <v>83</v>
      </c>
    </row>
    <row r="744" spans="1:4" x14ac:dyDescent="0.3">
      <c r="A744">
        <v>153</v>
      </c>
      <c r="B744">
        <v>11</v>
      </c>
      <c r="C744">
        <v>3</v>
      </c>
      <c r="D744">
        <v>64</v>
      </c>
    </row>
    <row r="745" spans="1:4" x14ac:dyDescent="0.3">
      <c r="A745">
        <v>635</v>
      </c>
      <c r="B745">
        <v>45</v>
      </c>
      <c r="C745">
        <v>4</v>
      </c>
      <c r="D745">
        <v>13</v>
      </c>
    </row>
    <row r="746" spans="1:4" x14ac:dyDescent="0.3">
      <c r="A746">
        <v>917</v>
      </c>
      <c r="B746">
        <v>3</v>
      </c>
      <c r="C746">
        <v>1</v>
      </c>
      <c r="D746">
        <v>108</v>
      </c>
    </row>
    <row r="747" spans="1:4" x14ac:dyDescent="0.3">
      <c r="A747">
        <v>869</v>
      </c>
      <c r="B747">
        <v>12</v>
      </c>
      <c r="C747">
        <v>5</v>
      </c>
      <c r="D747">
        <v>19</v>
      </c>
    </row>
    <row r="748" spans="1:4" x14ac:dyDescent="0.3">
      <c r="A748">
        <v>102</v>
      </c>
      <c r="B748">
        <v>3</v>
      </c>
      <c r="C748">
        <v>3</v>
      </c>
      <c r="D748">
        <v>56</v>
      </c>
    </row>
    <row r="749" spans="1:4" x14ac:dyDescent="0.3">
      <c r="A749">
        <v>753</v>
      </c>
      <c r="B749">
        <v>42</v>
      </c>
      <c r="C749">
        <v>4</v>
      </c>
      <c r="D749">
        <v>84</v>
      </c>
    </row>
    <row r="750" spans="1:4" x14ac:dyDescent="0.3">
      <c r="A750">
        <v>833</v>
      </c>
      <c r="B750">
        <v>27</v>
      </c>
      <c r="C750">
        <v>1</v>
      </c>
      <c r="D750">
        <v>23</v>
      </c>
    </row>
    <row r="751" spans="1:4" x14ac:dyDescent="0.3">
      <c r="A751">
        <v>191</v>
      </c>
      <c r="B751">
        <v>49</v>
      </c>
      <c r="C751">
        <v>5</v>
      </c>
      <c r="D751">
        <v>47</v>
      </c>
    </row>
    <row r="752" spans="1:4" x14ac:dyDescent="0.3">
      <c r="A752">
        <v>729</v>
      </c>
      <c r="B752">
        <v>2</v>
      </c>
      <c r="C752">
        <v>4</v>
      </c>
      <c r="D752">
        <v>21</v>
      </c>
    </row>
    <row r="753" spans="1:4" x14ac:dyDescent="0.3">
      <c r="A753">
        <v>563</v>
      </c>
      <c r="B753">
        <v>49</v>
      </c>
      <c r="C753">
        <v>5</v>
      </c>
      <c r="D753">
        <v>54</v>
      </c>
    </row>
    <row r="754" spans="1:4" x14ac:dyDescent="0.3">
      <c r="A754">
        <v>804</v>
      </c>
      <c r="B754">
        <v>16</v>
      </c>
      <c r="C754">
        <v>3</v>
      </c>
      <c r="D754">
        <v>26</v>
      </c>
    </row>
    <row r="755" spans="1:4" x14ac:dyDescent="0.3">
      <c r="A755">
        <v>81</v>
      </c>
      <c r="B755">
        <v>2</v>
      </c>
      <c r="C755">
        <v>1</v>
      </c>
      <c r="D755">
        <v>89</v>
      </c>
    </row>
    <row r="756" spans="1:4" x14ac:dyDescent="0.3">
      <c r="A756">
        <v>489</v>
      </c>
      <c r="B756">
        <v>30</v>
      </c>
      <c r="C756">
        <v>4</v>
      </c>
      <c r="D756">
        <v>44</v>
      </c>
    </row>
    <row r="757" spans="1:4" x14ac:dyDescent="0.3">
      <c r="A757">
        <v>895</v>
      </c>
      <c r="B757">
        <v>20</v>
      </c>
      <c r="C757">
        <v>1</v>
      </c>
      <c r="D757">
        <v>75</v>
      </c>
    </row>
    <row r="758" spans="1:4" x14ac:dyDescent="0.3">
      <c r="A758">
        <v>88</v>
      </c>
      <c r="B758">
        <v>38</v>
      </c>
      <c r="C758">
        <v>3</v>
      </c>
      <c r="D758">
        <v>84</v>
      </c>
    </row>
    <row r="759" spans="1:4" x14ac:dyDescent="0.3">
      <c r="A759">
        <v>194</v>
      </c>
      <c r="B759">
        <v>28</v>
      </c>
      <c r="C759">
        <v>1</v>
      </c>
      <c r="D759">
        <v>50</v>
      </c>
    </row>
    <row r="760" spans="1:4" x14ac:dyDescent="0.3">
      <c r="A760">
        <v>104</v>
      </c>
      <c r="B760">
        <v>25</v>
      </c>
      <c r="C760">
        <v>1</v>
      </c>
      <c r="D760">
        <v>76</v>
      </c>
    </row>
    <row r="761" spans="1:4" x14ac:dyDescent="0.3">
      <c r="A761">
        <v>783</v>
      </c>
      <c r="B761">
        <v>32</v>
      </c>
      <c r="C761">
        <v>2</v>
      </c>
      <c r="D761">
        <v>38</v>
      </c>
    </row>
    <row r="762" spans="1:4" x14ac:dyDescent="0.3">
      <c r="A762">
        <v>96</v>
      </c>
      <c r="B762">
        <v>10</v>
      </c>
      <c r="C762">
        <v>1</v>
      </c>
      <c r="D762">
        <v>27</v>
      </c>
    </row>
    <row r="763" spans="1:4" x14ac:dyDescent="0.3">
      <c r="A763">
        <v>423</v>
      </c>
      <c r="B763">
        <v>42</v>
      </c>
      <c r="C763">
        <v>5</v>
      </c>
      <c r="D763">
        <v>29</v>
      </c>
    </row>
    <row r="764" spans="1:4" x14ac:dyDescent="0.3">
      <c r="A764">
        <v>891</v>
      </c>
      <c r="B764">
        <v>40</v>
      </c>
      <c r="C764">
        <v>4</v>
      </c>
      <c r="D764">
        <v>23</v>
      </c>
    </row>
    <row r="765" spans="1:4" x14ac:dyDescent="0.3">
      <c r="A765">
        <v>198</v>
      </c>
      <c r="B765">
        <v>33</v>
      </c>
      <c r="C765">
        <v>2</v>
      </c>
      <c r="D765">
        <v>43</v>
      </c>
    </row>
    <row r="766" spans="1:4" x14ac:dyDescent="0.3">
      <c r="A766">
        <v>1</v>
      </c>
      <c r="B766">
        <v>13</v>
      </c>
      <c r="C766">
        <v>4</v>
      </c>
      <c r="D766">
        <v>58</v>
      </c>
    </row>
    <row r="767" spans="1:4" x14ac:dyDescent="0.3">
      <c r="A767">
        <v>407</v>
      </c>
      <c r="B767">
        <v>41</v>
      </c>
      <c r="C767">
        <v>4</v>
      </c>
      <c r="D767">
        <v>63</v>
      </c>
    </row>
    <row r="768" spans="1:4" x14ac:dyDescent="0.3">
      <c r="A768">
        <v>378</v>
      </c>
      <c r="B768">
        <v>42</v>
      </c>
      <c r="C768">
        <v>3</v>
      </c>
      <c r="D768">
        <v>40</v>
      </c>
    </row>
    <row r="769" spans="1:4" x14ac:dyDescent="0.3">
      <c r="A769">
        <v>167</v>
      </c>
      <c r="B769">
        <v>47</v>
      </c>
      <c r="C769">
        <v>3</v>
      </c>
      <c r="D769">
        <v>67</v>
      </c>
    </row>
    <row r="770" spans="1:4" x14ac:dyDescent="0.3">
      <c r="A770">
        <v>509</v>
      </c>
      <c r="B770">
        <v>37</v>
      </c>
      <c r="C770">
        <v>2</v>
      </c>
      <c r="D770">
        <v>113</v>
      </c>
    </row>
    <row r="771" spans="1:4" x14ac:dyDescent="0.3">
      <c r="A771">
        <v>638</v>
      </c>
      <c r="B771">
        <v>16</v>
      </c>
      <c r="C771">
        <v>3</v>
      </c>
      <c r="D771">
        <v>51</v>
      </c>
    </row>
    <row r="772" spans="1:4" x14ac:dyDescent="0.3">
      <c r="A772">
        <v>313</v>
      </c>
      <c r="B772">
        <v>45</v>
      </c>
      <c r="C772">
        <v>3</v>
      </c>
      <c r="D772">
        <v>67</v>
      </c>
    </row>
    <row r="773" spans="1:4" x14ac:dyDescent="0.3">
      <c r="A773">
        <v>593</v>
      </c>
      <c r="B773">
        <v>22</v>
      </c>
      <c r="C773">
        <v>3</v>
      </c>
      <c r="D773">
        <v>91</v>
      </c>
    </row>
    <row r="774" spans="1:4" x14ac:dyDescent="0.3">
      <c r="A774">
        <v>418</v>
      </c>
      <c r="B774">
        <v>20</v>
      </c>
      <c r="C774">
        <v>4</v>
      </c>
      <c r="D774">
        <v>39</v>
      </c>
    </row>
    <row r="775" spans="1:4" x14ac:dyDescent="0.3">
      <c r="A775">
        <v>763</v>
      </c>
      <c r="B775">
        <v>50</v>
      </c>
      <c r="C775">
        <v>2</v>
      </c>
      <c r="D775">
        <v>34</v>
      </c>
    </row>
    <row r="776" spans="1:4" x14ac:dyDescent="0.3">
      <c r="A776">
        <v>681</v>
      </c>
      <c r="B776">
        <v>43</v>
      </c>
      <c r="C776">
        <v>4</v>
      </c>
      <c r="D776">
        <v>72</v>
      </c>
    </row>
    <row r="777" spans="1:4" x14ac:dyDescent="0.3">
      <c r="A777">
        <v>477</v>
      </c>
      <c r="B777">
        <v>27</v>
      </c>
      <c r="C777">
        <v>5</v>
      </c>
      <c r="D777">
        <v>28</v>
      </c>
    </row>
    <row r="778" spans="1:4" x14ac:dyDescent="0.3">
      <c r="A778">
        <v>73</v>
      </c>
      <c r="B778">
        <v>41</v>
      </c>
      <c r="C778">
        <v>4</v>
      </c>
      <c r="D778">
        <v>81</v>
      </c>
    </row>
    <row r="779" spans="1:4" x14ac:dyDescent="0.3">
      <c r="A779">
        <v>141</v>
      </c>
      <c r="B779">
        <v>16</v>
      </c>
      <c r="C779">
        <v>5</v>
      </c>
      <c r="D779">
        <v>101</v>
      </c>
    </row>
    <row r="780" spans="1:4" x14ac:dyDescent="0.3">
      <c r="A780">
        <v>582</v>
      </c>
      <c r="B780">
        <v>34</v>
      </c>
      <c r="C780">
        <v>1</v>
      </c>
      <c r="D780">
        <v>17</v>
      </c>
    </row>
    <row r="781" spans="1:4" x14ac:dyDescent="0.3">
      <c r="A781">
        <v>262</v>
      </c>
      <c r="B781">
        <v>32</v>
      </c>
      <c r="C781">
        <v>1</v>
      </c>
      <c r="D781">
        <v>104</v>
      </c>
    </row>
    <row r="782" spans="1:4" x14ac:dyDescent="0.3">
      <c r="A782">
        <v>340</v>
      </c>
      <c r="B782">
        <v>26</v>
      </c>
      <c r="C782">
        <v>5</v>
      </c>
      <c r="D782">
        <v>12</v>
      </c>
    </row>
    <row r="783" spans="1:4" x14ac:dyDescent="0.3">
      <c r="A783">
        <v>308</v>
      </c>
      <c r="B783">
        <v>25</v>
      </c>
      <c r="C783">
        <v>5</v>
      </c>
      <c r="D783">
        <v>76</v>
      </c>
    </row>
    <row r="784" spans="1:4" x14ac:dyDescent="0.3">
      <c r="A784">
        <v>245</v>
      </c>
      <c r="B784">
        <v>2</v>
      </c>
      <c r="C784">
        <v>4</v>
      </c>
      <c r="D784">
        <v>117</v>
      </c>
    </row>
    <row r="785" spans="1:4" x14ac:dyDescent="0.3">
      <c r="A785">
        <v>515</v>
      </c>
      <c r="B785">
        <v>12</v>
      </c>
      <c r="C785">
        <v>5</v>
      </c>
      <c r="D785">
        <v>95</v>
      </c>
    </row>
    <row r="786" spans="1:4" x14ac:dyDescent="0.3">
      <c r="A786">
        <v>337</v>
      </c>
      <c r="B786">
        <v>40</v>
      </c>
      <c r="C786">
        <v>2</v>
      </c>
      <c r="D786">
        <v>90</v>
      </c>
    </row>
    <row r="787" spans="1:4" x14ac:dyDescent="0.3">
      <c r="A787">
        <v>575</v>
      </c>
      <c r="B787">
        <v>9</v>
      </c>
      <c r="C787">
        <v>1</v>
      </c>
      <c r="D787">
        <v>109</v>
      </c>
    </row>
    <row r="788" spans="1:4" x14ac:dyDescent="0.3">
      <c r="A788">
        <v>561</v>
      </c>
      <c r="B788">
        <v>12</v>
      </c>
      <c r="C788">
        <v>1</v>
      </c>
      <c r="D788">
        <v>26</v>
      </c>
    </row>
    <row r="789" spans="1:4" x14ac:dyDescent="0.3">
      <c r="A789">
        <v>76</v>
      </c>
      <c r="B789">
        <v>26</v>
      </c>
      <c r="C789">
        <v>5</v>
      </c>
      <c r="D789">
        <v>23</v>
      </c>
    </row>
    <row r="790" spans="1:4" x14ac:dyDescent="0.3">
      <c r="A790">
        <v>880</v>
      </c>
      <c r="B790">
        <v>9</v>
      </c>
      <c r="C790">
        <v>3</v>
      </c>
      <c r="D790">
        <v>18</v>
      </c>
    </row>
    <row r="791" spans="1:4" x14ac:dyDescent="0.3">
      <c r="A791">
        <v>175</v>
      </c>
      <c r="B791">
        <v>10</v>
      </c>
      <c r="C791">
        <v>3</v>
      </c>
      <c r="D791">
        <v>71</v>
      </c>
    </row>
    <row r="792" spans="1:4" x14ac:dyDescent="0.3">
      <c r="A792">
        <v>109</v>
      </c>
      <c r="B792">
        <v>32</v>
      </c>
      <c r="C792">
        <v>5</v>
      </c>
      <c r="D792">
        <v>103</v>
      </c>
    </row>
    <row r="793" spans="1:4" x14ac:dyDescent="0.3">
      <c r="A793">
        <v>183</v>
      </c>
      <c r="B793">
        <v>34</v>
      </c>
      <c r="C793">
        <v>2</v>
      </c>
      <c r="D793">
        <v>30</v>
      </c>
    </row>
    <row r="794" spans="1:4" x14ac:dyDescent="0.3">
      <c r="A794">
        <v>192</v>
      </c>
      <c r="B794">
        <v>48</v>
      </c>
      <c r="C794">
        <v>3</v>
      </c>
      <c r="D794">
        <v>85</v>
      </c>
    </row>
    <row r="795" spans="1:4" x14ac:dyDescent="0.3">
      <c r="A795">
        <v>65</v>
      </c>
      <c r="B795">
        <v>20</v>
      </c>
      <c r="C795">
        <v>5</v>
      </c>
      <c r="D795">
        <v>46</v>
      </c>
    </row>
    <row r="796" spans="1:4" x14ac:dyDescent="0.3">
      <c r="A796">
        <v>849</v>
      </c>
      <c r="B796">
        <v>39</v>
      </c>
      <c r="C796">
        <v>2</v>
      </c>
      <c r="D796">
        <v>105</v>
      </c>
    </row>
    <row r="797" spans="1:4" x14ac:dyDescent="0.3">
      <c r="A797">
        <v>963</v>
      </c>
      <c r="B797">
        <v>2</v>
      </c>
      <c r="C797">
        <v>2</v>
      </c>
      <c r="D797">
        <v>20</v>
      </c>
    </row>
    <row r="798" spans="1:4" x14ac:dyDescent="0.3">
      <c r="A798">
        <v>474</v>
      </c>
      <c r="B798">
        <v>1</v>
      </c>
      <c r="C798">
        <v>4</v>
      </c>
      <c r="D798">
        <v>29</v>
      </c>
    </row>
    <row r="799" spans="1:4" x14ac:dyDescent="0.3">
      <c r="A799">
        <v>783</v>
      </c>
      <c r="B799">
        <v>36</v>
      </c>
      <c r="C799">
        <v>2</v>
      </c>
      <c r="D799">
        <v>44</v>
      </c>
    </row>
    <row r="800" spans="1:4" x14ac:dyDescent="0.3">
      <c r="A800">
        <v>100</v>
      </c>
      <c r="B800">
        <v>24</v>
      </c>
      <c r="C800">
        <v>3</v>
      </c>
      <c r="D800">
        <v>62</v>
      </c>
    </row>
    <row r="801" spans="1:4" x14ac:dyDescent="0.3">
      <c r="A801">
        <v>544</v>
      </c>
      <c r="B801">
        <v>27</v>
      </c>
      <c r="C801">
        <v>3</v>
      </c>
      <c r="D801">
        <v>56</v>
      </c>
    </row>
    <row r="802" spans="1:4" x14ac:dyDescent="0.3">
      <c r="A802">
        <v>864</v>
      </c>
      <c r="B802">
        <v>2</v>
      </c>
      <c r="C802">
        <v>5</v>
      </c>
      <c r="D802">
        <v>119</v>
      </c>
    </row>
    <row r="803" spans="1:4" x14ac:dyDescent="0.3">
      <c r="A803">
        <v>128</v>
      </c>
      <c r="B803">
        <v>31</v>
      </c>
      <c r="C803">
        <v>5</v>
      </c>
      <c r="D803">
        <v>84</v>
      </c>
    </row>
    <row r="804" spans="1:4" x14ac:dyDescent="0.3">
      <c r="A804">
        <v>452</v>
      </c>
      <c r="B804">
        <v>14</v>
      </c>
      <c r="C804">
        <v>2</v>
      </c>
      <c r="D804">
        <v>61</v>
      </c>
    </row>
    <row r="805" spans="1:4" x14ac:dyDescent="0.3">
      <c r="A805">
        <v>914</v>
      </c>
      <c r="B805">
        <v>2</v>
      </c>
      <c r="C805">
        <v>1</v>
      </c>
      <c r="D805">
        <v>17</v>
      </c>
    </row>
    <row r="806" spans="1:4" x14ac:dyDescent="0.3">
      <c r="A806">
        <v>369</v>
      </c>
      <c r="B806">
        <v>29</v>
      </c>
      <c r="C806">
        <v>4</v>
      </c>
      <c r="D806">
        <v>13</v>
      </c>
    </row>
    <row r="807" spans="1:4" x14ac:dyDescent="0.3">
      <c r="A807">
        <v>851</v>
      </c>
      <c r="B807">
        <v>15</v>
      </c>
      <c r="C807">
        <v>1</v>
      </c>
      <c r="D807">
        <v>36</v>
      </c>
    </row>
    <row r="808" spans="1:4" x14ac:dyDescent="0.3">
      <c r="A808">
        <v>43</v>
      </c>
      <c r="B808">
        <v>12</v>
      </c>
      <c r="C808">
        <v>2</v>
      </c>
      <c r="D808">
        <v>53</v>
      </c>
    </row>
    <row r="809" spans="1:4" x14ac:dyDescent="0.3">
      <c r="A809">
        <v>884</v>
      </c>
      <c r="B809">
        <v>37</v>
      </c>
      <c r="C809">
        <v>2</v>
      </c>
      <c r="D809">
        <v>49</v>
      </c>
    </row>
    <row r="810" spans="1:4" x14ac:dyDescent="0.3">
      <c r="A810">
        <v>419</v>
      </c>
      <c r="B810">
        <v>28</v>
      </c>
      <c r="C810">
        <v>1</v>
      </c>
      <c r="D810">
        <v>111</v>
      </c>
    </row>
    <row r="811" spans="1:4" x14ac:dyDescent="0.3">
      <c r="A811">
        <v>488</v>
      </c>
      <c r="B811">
        <v>20</v>
      </c>
      <c r="C811">
        <v>4</v>
      </c>
      <c r="D811">
        <v>56</v>
      </c>
    </row>
    <row r="812" spans="1:4" x14ac:dyDescent="0.3">
      <c r="A812">
        <v>78</v>
      </c>
      <c r="B812">
        <v>39</v>
      </c>
      <c r="C812">
        <v>1</v>
      </c>
      <c r="D812">
        <v>103</v>
      </c>
    </row>
    <row r="813" spans="1:4" x14ac:dyDescent="0.3">
      <c r="A813">
        <v>826</v>
      </c>
      <c r="B813">
        <v>24</v>
      </c>
      <c r="C813">
        <v>5</v>
      </c>
      <c r="D813">
        <v>53</v>
      </c>
    </row>
    <row r="814" spans="1:4" x14ac:dyDescent="0.3">
      <c r="A814">
        <v>801</v>
      </c>
      <c r="B814">
        <v>21</v>
      </c>
      <c r="C814">
        <v>3</v>
      </c>
      <c r="D814">
        <v>57</v>
      </c>
    </row>
    <row r="815" spans="1:4" x14ac:dyDescent="0.3">
      <c r="A815">
        <v>270</v>
      </c>
      <c r="B815">
        <v>10</v>
      </c>
      <c r="C815">
        <v>5</v>
      </c>
      <c r="D815">
        <v>100</v>
      </c>
    </row>
    <row r="816" spans="1:4" x14ac:dyDescent="0.3">
      <c r="A816">
        <v>674</v>
      </c>
      <c r="B816">
        <v>46</v>
      </c>
      <c r="C816">
        <v>3</v>
      </c>
      <c r="D816">
        <v>94</v>
      </c>
    </row>
    <row r="817" spans="1:4" x14ac:dyDescent="0.3">
      <c r="A817">
        <v>701</v>
      </c>
      <c r="B817">
        <v>14</v>
      </c>
      <c r="C817">
        <v>2</v>
      </c>
      <c r="D817">
        <v>61</v>
      </c>
    </row>
    <row r="818" spans="1:4" x14ac:dyDescent="0.3">
      <c r="A818">
        <v>759</v>
      </c>
      <c r="B818">
        <v>37</v>
      </c>
      <c r="C818">
        <v>4</v>
      </c>
      <c r="D818">
        <v>93</v>
      </c>
    </row>
    <row r="819" spans="1:4" x14ac:dyDescent="0.3">
      <c r="A819">
        <v>900</v>
      </c>
      <c r="B819">
        <v>18</v>
      </c>
      <c r="C819">
        <v>1</v>
      </c>
      <c r="D819">
        <v>77</v>
      </c>
    </row>
    <row r="820" spans="1:4" x14ac:dyDescent="0.3">
      <c r="A820">
        <v>728</v>
      </c>
      <c r="B820">
        <v>24</v>
      </c>
      <c r="C820">
        <v>4</v>
      </c>
      <c r="D820">
        <v>20</v>
      </c>
    </row>
    <row r="821" spans="1:4" x14ac:dyDescent="0.3">
      <c r="A821">
        <v>315</v>
      </c>
      <c r="B821">
        <v>14</v>
      </c>
      <c r="C821">
        <v>1</v>
      </c>
      <c r="D821">
        <v>86</v>
      </c>
    </row>
    <row r="822" spans="1:4" x14ac:dyDescent="0.3">
      <c r="A822">
        <v>925</v>
      </c>
      <c r="B822">
        <v>34</v>
      </c>
      <c r="C822">
        <v>5</v>
      </c>
      <c r="D822">
        <v>82</v>
      </c>
    </row>
    <row r="823" spans="1:4" x14ac:dyDescent="0.3">
      <c r="A823">
        <v>851</v>
      </c>
      <c r="B823">
        <v>12</v>
      </c>
      <c r="C823">
        <v>5</v>
      </c>
      <c r="D823">
        <v>13</v>
      </c>
    </row>
    <row r="824" spans="1:4" x14ac:dyDescent="0.3">
      <c r="A824">
        <v>902</v>
      </c>
      <c r="B824">
        <v>22</v>
      </c>
      <c r="C824">
        <v>1</v>
      </c>
      <c r="D824">
        <v>85</v>
      </c>
    </row>
    <row r="825" spans="1:4" x14ac:dyDescent="0.3">
      <c r="A825">
        <v>889</v>
      </c>
      <c r="B825">
        <v>6</v>
      </c>
      <c r="C825">
        <v>4</v>
      </c>
      <c r="D825">
        <v>82</v>
      </c>
    </row>
    <row r="826" spans="1:4" x14ac:dyDescent="0.3">
      <c r="A826">
        <v>993</v>
      </c>
      <c r="B826">
        <v>36</v>
      </c>
      <c r="C826">
        <v>1</v>
      </c>
      <c r="D826">
        <v>86</v>
      </c>
    </row>
    <row r="827" spans="1:4" x14ac:dyDescent="0.3">
      <c r="A827">
        <v>945</v>
      </c>
      <c r="B827">
        <v>45</v>
      </c>
      <c r="C827">
        <v>2</v>
      </c>
      <c r="D827">
        <v>57</v>
      </c>
    </row>
    <row r="828" spans="1:4" x14ac:dyDescent="0.3">
      <c r="A828">
        <v>168</v>
      </c>
      <c r="B828">
        <v>36</v>
      </c>
      <c r="C828">
        <v>5</v>
      </c>
      <c r="D828">
        <v>35</v>
      </c>
    </row>
    <row r="829" spans="1:4" x14ac:dyDescent="0.3">
      <c r="A829">
        <v>339</v>
      </c>
      <c r="B829">
        <v>22</v>
      </c>
      <c r="C829">
        <v>2</v>
      </c>
      <c r="D829">
        <v>111</v>
      </c>
    </row>
    <row r="830" spans="1:4" x14ac:dyDescent="0.3">
      <c r="A830">
        <v>193</v>
      </c>
      <c r="B830">
        <v>14</v>
      </c>
      <c r="C830">
        <v>5</v>
      </c>
      <c r="D830">
        <v>115</v>
      </c>
    </row>
    <row r="831" spans="1:4" x14ac:dyDescent="0.3">
      <c r="A831">
        <v>453</v>
      </c>
      <c r="B831">
        <v>16</v>
      </c>
      <c r="C831">
        <v>5</v>
      </c>
      <c r="D831">
        <v>86</v>
      </c>
    </row>
    <row r="832" spans="1:4" x14ac:dyDescent="0.3">
      <c r="A832">
        <v>283</v>
      </c>
      <c r="B832">
        <v>36</v>
      </c>
      <c r="C832">
        <v>3</v>
      </c>
      <c r="D832">
        <v>48</v>
      </c>
    </row>
    <row r="833" spans="1:4" x14ac:dyDescent="0.3">
      <c r="A833">
        <v>336</v>
      </c>
      <c r="B833">
        <v>25</v>
      </c>
      <c r="C833">
        <v>2</v>
      </c>
      <c r="D833">
        <v>101</v>
      </c>
    </row>
    <row r="834" spans="1:4" x14ac:dyDescent="0.3">
      <c r="A834">
        <v>390</v>
      </c>
      <c r="B834">
        <v>32</v>
      </c>
      <c r="C834">
        <v>2</v>
      </c>
      <c r="D834">
        <v>67</v>
      </c>
    </row>
    <row r="835" spans="1:4" x14ac:dyDescent="0.3">
      <c r="A835">
        <v>1000</v>
      </c>
      <c r="B835">
        <v>33</v>
      </c>
      <c r="C835">
        <v>3</v>
      </c>
      <c r="D835">
        <v>28</v>
      </c>
    </row>
    <row r="836" spans="1:4" x14ac:dyDescent="0.3">
      <c r="A836">
        <v>525</v>
      </c>
      <c r="B836">
        <v>45</v>
      </c>
      <c r="C836">
        <v>4</v>
      </c>
      <c r="D836">
        <v>97</v>
      </c>
    </row>
    <row r="837" spans="1:4" x14ac:dyDescent="0.3">
      <c r="A837">
        <v>240</v>
      </c>
      <c r="B837">
        <v>36</v>
      </c>
      <c r="C837">
        <v>2</v>
      </c>
      <c r="D837">
        <v>92</v>
      </c>
    </row>
    <row r="838" spans="1:4" x14ac:dyDescent="0.3">
      <c r="A838">
        <v>832</v>
      </c>
      <c r="B838">
        <v>20</v>
      </c>
      <c r="C838">
        <v>1</v>
      </c>
      <c r="D838">
        <v>86</v>
      </c>
    </row>
    <row r="839" spans="1:4" x14ac:dyDescent="0.3">
      <c r="A839">
        <v>958</v>
      </c>
      <c r="B839">
        <v>18</v>
      </c>
      <c r="C839">
        <v>3</v>
      </c>
      <c r="D839">
        <v>86</v>
      </c>
    </row>
    <row r="840" spans="1:4" x14ac:dyDescent="0.3">
      <c r="A840">
        <v>483</v>
      </c>
      <c r="B840">
        <v>38</v>
      </c>
      <c r="C840">
        <v>2</v>
      </c>
      <c r="D840">
        <v>67</v>
      </c>
    </row>
    <row r="841" spans="1:4" x14ac:dyDescent="0.3">
      <c r="A841">
        <v>659</v>
      </c>
      <c r="B841">
        <v>3</v>
      </c>
      <c r="C841">
        <v>4</v>
      </c>
      <c r="D841">
        <v>37</v>
      </c>
    </row>
    <row r="842" spans="1:4" x14ac:dyDescent="0.3">
      <c r="A842">
        <v>716</v>
      </c>
      <c r="B842">
        <v>23</v>
      </c>
      <c r="C842">
        <v>2</v>
      </c>
      <c r="D842">
        <v>75</v>
      </c>
    </row>
    <row r="843" spans="1:4" x14ac:dyDescent="0.3">
      <c r="A843">
        <v>592</v>
      </c>
      <c r="B843">
        <v>32</v>
      </c>
      <c r="C843">
        <v>5</v>
      </c>
      <c r="D843">
        <v>19</v>
      </c>
    </row>
    <row r="844" spans="1:4" x14ac:dyDescent="0.3">
      <c r="A844">
        <v>891</v>
      </c>
      <c r="B844">
        <v>45</v>
      </c>
      <c r="C844">
        <v>1</v>
      </c>
      <c r="D844">
        <v>95</v>
      </c>
    </row>
    <row r="845" spans="1:4" x14ac:dyDescent="0.3">
      <c r="A845">
        <v>555</v>
      </c>
      <c r="B845">
        <v>16</v>
      </c>
      <c r="C845">
        <v>3</v>
      </c>
      <c r="D845">
        <v>86</v>
      </c>
    </row>
    <row r="846" spans="1:4" x14ac:dyDescent="0.3">
      <c r="A846">
        <v>458</v>
      </c>
      <c r="B846">
        <v>5</v>
      </c>
      <c r="C846">
        <v>5</v>
      </c>
      <c r="D846">
        <v>67</v>
      </c>
    </row>
    <row r="847" spans="1:4" x14ac:dyDescent="0.3">
      <c r="A847">
        <v>89</v>
      </c>
      <c r="B847">
        <v>4</v>
      </c>
      <c r="C847">
        <v>4</v>
      </c>
      <c r="D847">
        <v>82</v>
      </c>
    </row>
    <row r="848" spans="1:4" x14ac:dyDescent="0.3">
      <c r="A848">
        <v>660</v>
      </c>
      <c r="B848">
        <v>21</v>
      </c>
      <c r="C848">
        <v>5</v>
      </c>
      <c r="D848">
        <v>106</v>
      </c>
    </row>
    <row r="849" spans="1:4" x14ac:dyDescent="0.3">
      <c r="A849">
        <v>95</v>
      </c>
      <c r="B849">
        <v>40</v>
      </c>
      <c r="C849">
        <v>5</v>
      </c>
      <c r="D849">
        <v>23</v>
      </c>
    </row>
    <row r="850" spans="1:4" x14ac:dyDescent="0.3">
      <c r="A850">
        <v>452</v>
      </c>
      <c r="B850">
        <v>14</v>
      </c>
      <c r="C850">
        <v>4</v>
      </c>
      <c r="D850">
        <v>93</v>
      </c>
    </row>
    <row r="851" spans="1:4" x14ac:dyDescent="0.3">
      <c r="A851">
        <v>428</v>
      </c>
      <c r="B851">
        <v>39</v>
      </c>
      <c r="C851">
        <v>5</v>
      </c>
      <c r="D851">
        <v>24</v>
      </c>
    </row>
    <row r="852" spans="1:4" x14ac:dyDescent="0.3">
      <c r="A852">
        <v>151</v>
      </c>
      <c r="B852">
        <v>31</v>
      </c>
      <c r="C852">
        <v>3</v>
      </c>
      <c r="D852">
        <v>105</v>
      </c>
    </row>
    <row r="853" spans="1:4" x14ac:dyDescent="0.3">
      <c r="A853">
        <v>514</v>
      </c>
      <c r="B853">
        <v>14</v>
      </c>
      <c r="C853">
        <v>2</v>
      </c>
      <c r="D853">
        <v>42</v>
      </c>
    </row>
    <row r="854" spans="1:4" x14ac:dyDescent="0.3">
      <c r="A854">
        <v>376</v>
      </c>
      <c r="B854">
        <v>6</v>
      </c>
      <c r="C854">
        <v>5</v>
      </c>
      <c r="D854">
        <v>26</v>
      </c>
    </row>
    <row r="855" spans="1:4" x14ac:dyDescent="0.3">
      <c r="A855">
        <v>22</v>
      </c>
      <c r="B855">
        <v>12</v>
      </c>
      <c r="C855">
        <v>3</v>
      </c>
      <c r="D855">
        <v>33</v>
      </c>
    </row>
    <row r="856" spans="1:4" x14ac:dyDescent="0.3">
      <c r="A856">
        <v>883</v>
      </c>
      <c r="B856">
        <v>16</v>
      </c>
      <c r="C856">
        <v>2</v>
      </c>
      <c r="D856">
        <v>39</v>
      </c>
    </row>
    <row r="857" spans="1:4" x14ac:dyDescent="0.3">
      <c r="A857">
        <v>313</v>
      </c>
      <c r="B857">
        <v>17</v>
      </c>
      <c r="C857">
        <v>2</v>
      </c>
      <c r="D857">
        <v>71</v>
      </c>
    </row>
    <row r="858" spans="1:4" x14ac:dyDescent="0.3">
      <c r="A858">
        <v>997</v>
      </c>
      <c r="B858">
        <v>45</v>
      </c>
      <c r="C858">
        <v>5</v>
      </c>
      <c r="D858">
        <v>22</v>
      </c>
    </row>
    <row r="859" spans="1:4" x14ac:dyDescent="0.3">
      <c r="A859">
        <v>840</v>
      </c>
      <c r="B859">
        <v>23</v>
      </c>
      <c r="C859">
        <v>3</v>
      </c>
      <c r="D859">
        <v>71</v>
      </c>
    </row>
    <row r="860" spans="1:4" x14ac:dyDescent="0.3">
      <c r="A860">
        <v>519</v>
      </c>
      <c r="B860">
        <v>14</v>
      </c>
      <c r="C860">
        <v>5</v>
      </c>
      <c r="D860">
        <v>56</v>
      </c>
    </row>
    <row r="861" spans="1:4" x14ac:dyDescent="0.3">
      <c r="A861">
        <v>206</v>
      </c>
      <c r="B861">
        <v>7</v>
      </c>
      <c r="C861">
        <v>4</v>
      </c>
      <c r="D861">
        <v>25</v>
      </c>
    </row>
    <row r="862" spans="1:4" x14ac:dyDescent="0.3">
      <c r="A862">
        <v>952</v>
      </c>
      <c r="B862">
        <v>46</v>
      </c>
      <c r="C862">
        <v>2</v>
      </c>
      <c r="D862">
        <v>75</v>
      </c>
    </row>
    <row r="863" spans="1:4" x14ac:dyDescent="0.3">
      <c r="A863">
        <v>375</v>
      </c>
      <c r="B863">
        <v>32</v>
      </c>
      <c r="C863">
        <v>5</v>
      </c>
      <c r="D863">
        <v>90</v>
      </c>
    </row>
    <row r="864" spans="1:4" x14ac:dyDescent="0.3">
      <c r="A864">
        <v>451</v>
      </c>
      <c r="B864">
        <v>15</v>
      </c>
      <c r="C864">
        <v>2</v>
      </c>
      <c r="D864">
        <v>105</v>
      </c>
    </row>
    <row r="865" spans="1:4" x14ac:dyDescent="0.3">
      <c r="A865">
        <v>626</v>
      </c>
      <c r="B865">
        <v>44</v>
      </c>
      <c r="C865">
        <v>3</v>
      </c>
      <c r="D865">
        <v>52</v>
      </c>
    </row>
    <row r="866" spans="1:4" x14ac:dyDescent="0.3">
      <c r="A866">
        <v>784</v>
      </c>
      <c r="B866">
        <v>17</v>
      </c>
      <c r="C866">
        <v>1</v>
      </c>
      <c r="D866">
        <v>17</v>
      </c>
    </row>
    <row r="867" spans="1:4" x14ac:dyDescent="0.3">
      <c r="A867">
        <v>595</v>
      </c>
      <c r="B867">
        <v>41</v>
      </c>
      <c r="C867">
        <v>5</v>
      </c>
      <c r="D867">
        <v>12</v>
      </c>
    </row>
    <row r="868" spans="1:4" x14ac:dyDescent="0.3">
      <c r="A868">
        <v>179</v>
      </c>
      <c r="B868">
        <v>47</v>
      </c>
      <c r="C868">
        <v>5</v>
      </c>
      <c r="D868">
        <v>21</v>
      </c>
    </row>
    <row r="869" spans="1:4" x14ac:dyDescent="0.3">
      <c r="A869">
        <v>210</v>
      </c>
      <c r="B869">
        <v>44</v>
      </c>
      <c r="C869">
        <v>2</v>
      </c>
      <c r="D869">
        <v>93</v>
      </c>
    </row>
    <row r="870" spans="1:4" x14ac:dyDescent="0.3">
      <c r="A870">
        <v>500</v>
      </c>
      <c r="B870">
        <v>34</v>
      </c>
      <c r="C870">
        <v>3</v>
      </c>
      <c r="D870">
        <v>25</v>
      </c>
    </row>
    <row r="871" spans="1:4" x14ac:dyDescent="0.3">
      <c r="A871">
        <v>464</v>
      </c>
      <c r="B871">
        <v>5</v>
      </c>
      <c r="C871">
        <v>4</v>
      </c>
      <c r="D871">
        <v>87</v>
      </c>
    </row>
    <row r="872" spans="1:4" x14ac:dyDescent="0.3">
      <c r="A872">
        <v>840</v>
      </c>
      <c r="B872">
        <v>45</v>
      </c>
      <c r="C872">
        <v>3</v>
      </c>
      <c r="D872">
        <v>89</v>
      </c>
    </row>
    <row r="873" spans="1:4" x14ac:dyDescent="0.3">
      <c r="A873">
        <v>124</v>
      </c>
      <c r="B873">
        <v>27</v>
      </c>
      <c r="C873">
        <v>5</v>
      </c>
      <c r="D873">
        <v>68</v>
      </c>
    </row>
    <row r="874" spans="1:4" x14ac:dyDescent="0.3">
      <c r="A874">
        <v>993</v>
      </c>
      <c r="B874">
        <v>23</v>
      </c>
      <c r="C874">
        <v>4</v>
      </c>
      <c r="D874">
        <v>58</v>
      </c>
    </row>
    <row r="875" spans="1:4" x14ac:dyDescent="0.3">
      <c r="A875">
        <v>113</v>
      </c>
      <c r="B875">
        <v>40</v>
      </c>
      <c r="C875">
        <v>3</v>
      </c>
      <c r="D875">
        <v>72</v>
      </c>
    </row>
    <row r="876" spans="1:4" x14ac:dyDescent="0.3">
      <c r="A876">
        <v>12</v>
      </c>
      <c r="B876">
        <v>14</v>
      </c>
      <c r="C876">
        <v>1</v>
      </c>
      <c r="D876">
        <v>71</v>
      </c>
    </row>
    <row r="877" spans="1:4" x14ac:dyDescent="0.3">
      <c r="A877">
        <v>126</v>
      </c>
      <c r="B877">
        <v>15</v>
      </c>
      <c r="C877">
        <v>2</v>
      </c>
      <c r="D877">
        <v>116</v>
      </c>
    </row>
    <row r="878" spans="1:4" x14ac:dyDescent="0.3">
      <c r="A878">
        <v>565</v>
      </c>
      <c r="B878">
        <v>43</v>
      </c>
      <c r="C878">
        <v>3</v>
      </c>
      <c r="D878">
        <v>58</v>
      </c>
    </row>
    <row r="879" spans="1:4" x14ac:dyDescent="0.3">
      <c r="A879">
        <v>331</v>
      </c>
      <c r="B879">
        <v>33</v>
      </c>
      <c r="C879">
        <v>3</v>
      </c>
      <c r="D879">
        <v>60</v>
      </c>
    </row>
    <row r="880" spans="1:4" x14ac:dyDescent="0.3">
      <c r="A880">
        <v>901</v>
      </c>
      <c r="B880">
        <v>31</v>
      </c>
      <c r="C880">
        <v>1</v>
      </c>
      <c r="D880">
        <v>42</v>
      </c>
    </row>
    <row r="881" spans="1:4" x14ac:dyDescent="0.3">
      <c r="A881">
        <v>283</v>
      </c>
      <c r="B881">
        <v>35</v>
      </c>
      <c r="C881">
        <v>5</v>
      </c>
      <c r="D881">
        <v>39</v>
      </c>
    </row>
    <row r="882" spans="1:4" x14ac:dyDescent="0.3">
      <c r="A882">
        <v>140</v>
      </c>
      <c r="B882">
        <v>17</v>
      </c>
      <c r="C882">
        <v>2</v>
      </c>
      <c r="D882">
        <v>68</v>
      </c>
    </row>
    <row r="883" spans="1:4" x14ac:dyDescent="0.3">
      <c r="A883">
        <v>401</v>
      </c>
      <c r="B883">
        <v>28</v>
      </c>
      <c r="C883">
        <v>3</v>
      </c>
      <c r="D883">
        <v>85</v>
      </c>
    </row>
    <row r="884" spans="1:4" x14ac:dyDescent="0.3">
      <c r="A884">
        <v>902</v>
      </c>
      <c r="B884">
        <v>19</v>
      </c>
      <c r="C884">
        <v>4</v>
      </c>
      <c r="D884">
        <v>24</v>
      </c>
    </row>
    <row r="885" spans="1:4" x14ac:dyDescent="0.3">
      <c r="A885">
        <v>97</v>
      </c>
      <c r="B885">
        <v>46</v>
      </c>
      <c r="C885">
        <v>3</v>
      </c>
      <c r="D885">
        <v>91</v>
      </c>
    </row>
    <row r="886" spans="1:4" x14ac:dyDescent="0.3">
      <c r="A886">
        <v>517</v>
      </c>
      <c r="B886">
        <v>23</v>
      </c>
      <c r="C886">
        <v>2</v>
      </c>
      <c r="D886">
        <v>101</v>
      </c>
    </row>
    <row r="887" spans="1:4" x14ac:dyDescent="0.3">
      <c r="A887">
        <v>569</v>
      </c>
      <c r="B887">
        <v>32</v>
      </c>
      <c r="C887">
        <v>3</v>
      </c>
      <c r="D887">
        <v>32</v>
      </c>
    </row>
    <row r="888" spans="1:4" x14ac:dyDescent="0.3">
      <c r="A888">
        <v>924</v>
      </c>
      <c r="B888">
        <v>40</v>
      </c>
      <c r="C888">
        <v>1</v>
      </c>
      <c r="D888">
        <v>87</v>
      </c>
    </row>
    <row r="889" spans="1:4" x14ac:dyDescent="0.3">
      <c r="A889">
        <v>846</v>
      </c>
      <c r="B889">
        <v>13</v>
      </c>
      <c r="C889">
        <v>3</v>
      </c>
      <c r="D889">
        <v>103</v>
      </c>
    </row>
    <row r="890" spans="1:4" x14ac:dyDescent="0.3">
      <c r="A890">
        <v>69</v>
      </c>
      <c r="B890">
        <v>20</v>
      </c>
      <c r="C890">
        <v>3</v>
      </c>
      <c r="D890">
        <v>106</v>
      </c>
    </row>
    <row r="891" spans="1:4" x14ac:dyDescent="0.3">
      <c r="A891">
        <v>118</v>
      </c>
      <c r="B891">
        <v>35</v>
      </c>
      <c r="C891">
        <v>4</v>
      </c>
      <c r="D891">
        <v>54</v>
      </c>
    </row>
    <row r="892" spans="1:4" x14ac:dyDescent="0.3">
      <c r="A892">
        <v>888</v>
      </c>
      <c r="B892">
        <v>5</v>
      </c>
      <c r="C892">
        <v>1</v>
      </c>
      <c r="D892">
        <v>71</v>
      </c>
    </row>
    <row r="893" spans="1:4" x14ac:dyDescent="0.3">
      <c r="A893">
        <v>59</v>
      </c>
      <c r="B893">
        <v>9</v>
      </c>
      <c r="C893">
        <v>1</v>
      </c>
      <c r="D893">
        <v>88</v>
      </c>
    </row>
    <row r="894" spans="1:4" x14ac:dyDescent="0.3">
      <c r="A894">
        <v>33</v>
      </c>
      <c r="B894">
        <v>29</v>
      </c>
      <c r="C894">
        <v>3</v>
      </c>
      <c r="D894">
        <v>80</v>
      </c>
    </row>
    <row r="895" spans="1:4" x14ac:dyDescent="0.3">
      <c r="A895">
        <v>318</v>
      </c>
      <c r="B895">
        <v>6</v>
      </c>
      <c r="C895">
        <v>4</v>
      </c>
      <c r="D895">
        <v>24</v>
      </c>
    </row>
    <row r="896" spans="1:4" x14ac:dyDescent="0.3">
      <c r="A896">
        <v>50</v>
      </c>
      <c r="B896">
        <v>25</v>
      </c>
      <c r="C896">
        <v>3</v>
      </c>
      <c r="D896">
        <v>115</v>
      </c>
    </row>
    <row r="897" spans="1:4" x14ac:dyDescent="0.3">
      <c r="A897">
        <v>880</v>
      </c>
      <c r="B897">
        <v>31</v>
      </c>
      <c r="C897">
        <v>3</v>
      </c>
      <c r="D897">
        <v>55</v>
      </c>
    </row>
    <row r="898" spans="1:4" x14ac:dyDescent="0.3">
      <c r="A898">
        <v>489</v>
      </c>
      <c r="B898">
        <v>22</v>
      </c>
      <c r="C898">
        <v>2</v>
      </c>
      <c r="D898">
        <v>73</v>
      </c>
    </row>
    <row r="899" spans="1:4" x14ac:dyDescent="0.3">
      <c r="A899">
        <v>19</v>
      </c>
      <c r="B899">
        <v>2</v>
      </c>
      <c r="C899">
        <v>2</v>
      </c>
      <c r="D899">
        <v>111</v>
      </c>
    </row>
    <row r="900" spans="1:4" x14ac:dyDescent="0.3">
      <c r="A900">
        <v>726</v>
      </c>
      <c r="B900">
        <v>45</v>
      </c>
      <c r="C900">
        <v>4</v>
      </c>
      <c r="D900">
        <v>55</v>
      </c>
    </row>
    <row r="901" spans="1:4" x14ac:dyDescent="0.3">
      <c r="A901">
        <v>197</v>
      </c>
      <c r="B901">
        <v>5</v>
      </c>
      <c r="C901">
        <v>5</v>
      </c>
      <c r="D901">
        <v>65</v>
      </c>
    </row>
    <row r="902" spans="1:4" x14ac:dyDescent="0.3">
      <c r="A902">
        <v>891</v>
      </c>
      <c r="B902">
        <v>27</v>
      </c>
      <c r="C902">
        <v>2</v>
      </c>
      <c r="D902">
        <v>53</v>
      </c>
    </row>
    <row r="903" spans="1:4" x14ac:dyDescent="0.3">
      <c r="A903">
        <v>450</v>
      </c>
      <c r="B903">
        <v>25</v>
      </c>
      <c r="C903">
        <v>5</v>
      </c>
      <c r="D903">
        <v>84</v>
      </c>
    </row>
    <row r="904" spans="1:4" x14ac:dyDescent="0.3">
      <c r="A904">
        <v>990</v>
      </c>
      <c r="B904">
        <v>8</v>
      </c>
      <c r="C904">
        <v>1</v>
      </c>
      <c r="D904">
        <v>38</v>
      </c>
    </row>
    <row r="905" spans="1:4" x14ac:dyDescent="0.3">
      <c r="A905">
        <v>559</v>
      </c>
      <c r="B905">
        <v>1</v>
      </c>
      <c r="C905">
        <v>2</v>
      </c>
      <c r="D905">
        <v>104</v>
      </c>
    </row>
    <row r="906" spans="1:4" x14ac:dyDescent="0.3">
      <c r="A906">
        <v>679</v>
      </c>
      <c r="B906">
        <v>20</v>
      </c>
      <c r="C906">
        <v>2</v>
      </c>
      <c r="D906">
        <v>71</v>
      </c>
    </row>
    <row r="907" spans="1:4" x14ac:dyDescent="0.3">
      <c r="A907">
        <v>452</v>
      </c>
      <c r="B907">
        <v>44</v>
      </c>
      <c r="C907">
        <v>4</v>
      </c>
      <c r="D907">
        <v>98</v>
      </c>
    </row>
    <row r="908" spans="1:4" x14ac:dyDescent="0.3">
      <c r="A908">
        <v>289</v>
      </c>
      <c r="B908">
        <v>23</v>
      </c>
      <c r="C908">
        <v>5</v>
      </c>
      <c r="D908">
        <v>61</v>
      </c>
    </row>
    <row r="909" spans="1:4" x14ac:dyDescent="0.3">
      <c r="A909">
        <v>141</v>
      </c>
      <c r="B909">
        <v>32</v>
      </c>
      <c r="C909">
        <v>2</v>
      </c>
      <c r="D909">
        <v>63</v>
      </c>
    </row>
    <row r="910" spans="1:4" x14ac:dyDescent="0.3">
      <c r="A910">
        <v>84</v>
      </c>
      <c r="B910">
        <v>11</v>
      </c>
      <c r="C910">
        <v>2</v>
      </c>
      <c r="D910">
        <v>97</v>
      </c>
    </row>
    <row r="911" spans="1:4" x14ac:dyDescent="0.3">
      <c r="A911">
        <v>694</v>
      </c>
      <c r="B911">
        <v>39</v>
      </c>
      <c r="C911">
        <v>4</v>
      </c>
      <c r="D911">
        <v>66</v>
      </c>
    </row>
    <row r="912" spans="1:4" x14ac:dyDescent="0.3">
      <c r="A912">
        <v>391</v>
      </c>
      <c r="B912">
        <v>47</v>
      </c>
      <c r="C912">
        <v>4</v>
      </c>
      <c r="D912">
        <v>92</v>
      </c>
    </row>
    <row r="913" spans="1:4" x14ac:dyDescent="0.3">
      <c r="A913">
        <v>591</v>
      </c>
      <c r="B913">
        <v>24</v>
      </c>
      <c r="C913">
        <v>5</v>
      </c>
      <c r="D913">
        <v>75</v>
      </c>
    </row>
    <row r="914" spans="1:4" x14ac:dyDescent="0.3">
      <c r="A914">
        <v>215</v>
      </c>
      <c r="B914">
        <v>11</v>
      </c>
      <c r="C914">
        <v>1</v>
      </c>
      <c r="D914">
        <v>31</v>
      </c>
    </row>
    <row r="915" spans="1:4" x14ac:dyDescent="0.3">
      <c r="A915">
        <v>526</v>
      </c>
      <c r="B915">
        <v>29</v>
      </c>
      <c r="C915">
        <v>1</v>
      </c>
      <c r="D915">
        <v>29</v>
      </c>
    </row>
    <row r="916" spans="1:4" x14ac:dyDescent="0.3">
      <c r="A916">
        <v>215</v>
      </c>
      <c r="B916">
        <v>26</v>
      </c>
      <c r="C916">
        <v>3</v>
      </c>
      <c r="D916">
        <v>42</v>
      </c>
    </row>
    <row r="917" spans="1:4" x14ac:dyDescent="0.3">
      <c r="A917">
        <v>403</v>
      </c>
      <c r="B917">
        <v>16</v>
      </c>
      <c r="C917">
        <v>2</v>
      </c>
      <c r="D917">
        <v>81</v>
      </c>
    </row>
    <row r="918" spans="1:4" x14ac:dyDescent="0.3">
      <c r="A918">
        <v>128</v>
      </c>
      <c r="B918">
        <v>35</v>
      </c>
      <c r="C918">
        <v>5</v>
      </c>
      <c r="D918">
        <v>34</v>
      </c>
    </row>
    <row r="919" spans="1:4" x14ac:dyDescent="0.3">
      <c r="A919">
        <v>822</v>
      </c>
      <c r="B919">
        <v>20</v>
      </c>
      <c r="C919">
        <v>2</v>
      </c>
      <c r="D919">
        <v>55</v>
      </c>
    </row>
    <row r="920" spans="1:4" x14ac:dyDescent="0.3">
      <c r="A920">
        <v>477</v>
      </c>
      <c r="B920">
        <v>46</v>
      </c>
      <c r="C920">
        <v>5</v>
      </c>
      <c r="D920">
        <v>82</v>
      </c>
    </row>
    <row r="921" spans="1:4" x14ac:dyDescent="0.3">
      <c r="A921">
        <v>760</v>
      </c>
      <c r="B921">
        <v>3</v>
      </c>
      <c r="C921">
        <v>5</v>
      </c>
      <c r="D921">
        <v>107</v>
      </c>
    </row>
    <row r="922" spans="1:4" x14ac:dyDescent="0.3">
      <c r="A922">
        <v>404</v>
      </c>
      <c r="B922">
        <v>1</v>
      </c>
      <c r="C922">
        <v>5</v>
      </c>
      <c r="D922">
        <v>66</v>
      </c>
    </row>
    <row r="923" spans="1:4" x14ac:dyDescent="0.3">
      <c r="A923">
        <v>29</v>
      </c>
      <c r="B923">
        <v>47</v>
      </c>
      <c r="C923">
        <v>2</v>
      </c>
      <c r="D923">
        <v>96</v>
      </c>
    </row>
    <row r="924" spans="1:4" x14ac:dyDescent="0.3">
      <c r="A924">
        <v>792</v>
      </c>
      <c r="B924">
        <v>1</v>
      </c>
      <c r="C924">
        <v>4</v>
      </c>
      <c r="D924">
        <v>14</v>
      </c>
    </row>
    <row r="925" spans="1:4" x14ac:dyDescent="0.3">
      <c r="A925">
        <v>338</v>
      </c>
      <c r="B925">
        <v>17</v>
      </c>
      <c r="C925">
        <v>2</v>
      </c>
      <c r="D925">
        <v>64</v>
      </c>
    </row>
    <row r="926" spans="1:4" x14ac:dyDescent="0.3">
      <c r="A926">
        <v>831</v>
      </c>
      <c r="B926">
        <v>2</v>
      </c>
      <c r="C926">
        <v>5</v>
      </c>
      <c r="D926">
        <v>70</v>
      </c>
    </row>
    <row r="927" spans="1:4" x14ac:dyDescent="0.3">
      <c r="A927">
        <v>714</v>
      </c>
      <c r="B927">
        <v>29</v>
      </c>
      <c r="C927">
        <v>3</v>
      </c>
      <c r="D927">
        <v>98</v>
      </c>
    </row>
    <row r="928" spans="1:4" x14ac:dyDescent="0.3">
      <c r="A928">
        <v>361</v>
      </c>
      <c r="B928">
        <v>20</v>
      </c>
      <c r="C928">
        <v>1</v>
      </c>
      <c r="D928">
        <v>17</v>
      </c>
    </row>
    <row r="929" spans="1:4" x14ac:dyDescent="0.3">
      <c r="A929">
        <v>569</v>
      </c>
      <c r="B929">
        <v>6</v>
      </c>
      <c r="C929">
        <v>5</v>
      </c>
      <c r="D929">
        <v>25</v>
      </c>
    </row>
    <row r="930" spans="1:4" x14ac:dyDescent="0.3">
      <c r="A930">
        <v>392</v>
      </c>
      <c r="B930">
        <v>8</v>
      </c>
      <c r="C930">
        <v>3</v>
      </c>
      <c r="D930">
        <v>57</v>
      </c>
    </row>
    <row r="931" spans="1:4" x14ac:dyDescent="0.3">
      <c r="A931">
        <v>218</v>
      </c>
      <c r="B931">
        <v>29</v>
      </c>
      <c r="C931">
        <v>4</v>
      </c>
      <c r="D931">
        <v>118</v>
      </c>
    </row>
    <row r="932" spans="1:4" x14ac:dyDescent="0.3">
      <c r="A932">
        <v>574</v>
      </c>
      <c r="B932">
        <v>48</v>
      </c>
      <c r="C932">
        <v>5</v>
      </c>
      <c r="D932">
        <v>70</v>
      </c>
    </row>
    <row r="933" spans="1:4" x14ac:dyDescent="0.3">
      <c r="A933">
        <v>669</v>
      </c>
      <c r="B933">
        <v>33</v>
      </c>
      <c r="C933">
        <v>3</v>
      </c>
      <c r="D933">
        <v>24</v>
      </c>
    </row>
    <row r="934" spans="1:4" x14ac:dyDescent="0.3">
      <c r="A934">
        <v>202</v>
      </c>
      <c r="B934">
        <v>3</v>
      </c>
      <c r="C934">
        <v>5</v>
      </c>
      <c r="D934">
        <v>74</v>
      </c>
    </row>
    <row r="935" spans="1:4" x14ac:dyDescent="0.3">
      <c r="A935">
        <v>17</v>
      </c>
      <c r="B935">
        <v>35</v>
      </c>
      <c r="C935">
        <v>2</v>
      </c>
      <c r="D935">
        <v>31</v>
      </c>
    </row>
    <row r="936" spans="1:4" x14ac:dyDescent="0.3">
      <c r="A936">
        <v>322</v>
      </c>
      <c r="B936">
        <v>5</v>
      </c>
      <c r="C936">
        <v>3</v>
      </c>
      <c r="D936">
        <v>12</v>
      </c>
    </row>
    <row r="937" spans="1:4" x14ac:dyDescent="0.3">
      <c r="A937">
        <v>518</v>
      </c>
      <c r="B937">
        <v>27</v>
      </c>
      <c r="C937">
        <v>2</v>
      </c>
      <c r="D937">
        <v>111</v>
      </c>
    </row>
    <row r="938" spans="1:4" x14ac:dyDescent="0.3">
      <c r="A938">
        <v>570</v>
      </c>
      <c r="B938">
        <v>44</v>
      </c>
      <c r="C938">
        <v>2</v>
      </c>
      <c r="D938">
        <v>63</v>
      </c>
    </row>
    <row r="939" spans="1:4" x14ac:dyDescent="0.3">
      <c r="A939">
        <v>325</v>
      </c>
      <c r="B939">
        <v>12</v>
      </c>
      <c r="C939">
        <v>3</v>
      </c>
      <c r="D939">
        <v>23</v>
      </c>
    </row>
    <row r="940" spans="1:4" x14ac:dyDescent="0.3">
      <c r="A940">
        <v>412</v>
      </c>
      <c r="B940">
        <v>20</v>
      </c>
      <c r="C940">
        <v>1</v>
      </c>
      <c r="D940">
        <v>45</v>
      </c>
    </row>
    <row r="941" spans="1:4" x14ac:dyDescent="0.3">
      <c r="A941">
        <v>318</v>
      </c>
      <c r="B941">
        <v>45</v>
      </c>
      <c r="C941">
        <v>3</v>
      </c>
      <c r="D941">
        <v>91</v>
      </c>
    </row>
    <row r="942" spans="1:4" x14ac:dyDescent="0.3">
      <c r="A942">
        <v>681</v>
      </c>
      <c r="B942">
        <v>20</v>
      </c>
      <c r="C942">
        <v>1</v>
      </c>
      <c r="D942">
        <v>114</v>
      </c>
    </row>
    <row r="943" spans="1:4" x14ac:dyDescent="0.3">
      <c r="A943">
        <v>965</v>
      </c>
      <c r="B943">
        <v>9</v>
      </c>
      <c r="C943">
        <v>5</v>
      </c>
      <c r="D943">
        <v>91</v>
      </c>
    </row>
    <row r="944" spans="1:4" x14ac:dyDescent="0.3">
      <c r="A944">
        <v>82</v>
      </c>
      <c r="B944">
        <v>39</v>
      </c>
      <c r="C944">
        <v>5</v>
      </c>
      <c r="D944">
        <v>76</v>
      </c>
    </row>
    <row r="945" spans="1:4" x14ac:dyDescent="0.3">
      <c r="A945">
        <v>474</v>
      </c>
      <c r="B945">
        <v>4</v>
      </c>
      <c r="C945">
        <v>3</v>
      </c>
      <c r="D945">
        <v>19</v>
      </c>
    </row>
    <row r="946" spans="1:4" x14ac:dyDescent="0.3">
      <c r="A946">
        <v>468</v>
      </c>
      <c r="B946">
        <v>19</v>
      </c>
      <c r="C946">
        <v>5</v>
      </c>
      <c r="D946">
        <v>58</v>
      </c>
    </row>
    <row r="947" spans="1:4" x14ac:dyDescent="0.3">
      <c r="A947">
        <v>425</v>
      </c>
      <c r="B947">
        <v>38</v>
      </c>
      <c r="C947">
        <v>4</v>
      </c>
      <c r="D947">
        <v>112</v>
      </c>
    </row>
    <row r="948" spans="1:4" x14ac:dyDescent="0.3">
      <c r="A948">
        <v>945</v>
      </c>
      <c r="B948">
        <v>27</v>
      </c>
      <c r="C948">
        <v>2</v>
      </c>
      <c r="D948">
        <v>74</v>
      </c>
    </row>
    <row r="949" spans="1:4" x14ac:dyDescent="0.3">
      <c r="A949">
        <v>731</v>
      </c>
      <c r="B949">
        <v>45</v>
      </c>
      <c r="C949">
        <v>2</v>
      </c>
      <c r="D949">
        <v>100</v>
      </c>
    </row>
    <row r="950" spans="1:4" x14ac:dyDescent="0.3">
      <c r="A950">
        <v>689</v>
      </c>
      <c r="B950">
        <v>43</v>
      </c>
      <c r="C950">
        <v>1</v>
      </c>
      <c r="D950">
        <v>66</v>
      </c>
    </row>
    <row r="951" spans="1:4" x14ac:dyDescent="0.3">
      <c r="A951">
        <v>204</v>
      </c>
      <c r="B951">
        <v>13</v>
      </c>
      <c r="C951">
        <v>5</v>
      </c>
      <c r="D951">
        <v>36</v>
      </c>
    </row>
    <row r="952" spans="1:4" x14ac:dyDescent="0.3">
      <c r="A952">
        <v>583</v>
      </c>
      <c r="B952">
        <v>13</v>
      </c>
      <c r="C952">
        <v>1</v>
      </c>
      <c r="D952">
        <v>84</v>
      </c>
    </row>
    <row r="953" spans="1:4" x14ac:dyDescent="0.3">
      <c r="A953">
        <v>387</v>
      </c>
      <c r="B953">
        <v>22</v>
      </c>
      <c r="C953">
        <v>2</v>
      </c>
      <c r="D953">
        <v>14</v>
      </c>
    </row>
    <row r="954" spans="1:4" x14ac:dyDescent="0.3">
      <c r="A954">
        <v>778</v>
      </c>
      <c r="B954">
        <v>28</v>
      </c>
      <c r="C954">
        <v>2</v>
      </c>
      <c r="D954">
        <v>80</v>
      </c>
    </row>
    <row r="955" spans="1:4" x14ac:dyDescent="0.3">
      <c r="A955">
        <v>98</v>
      </c>
      <c r="B955">
        <v>47</v>
      </c>
      <c r="C955">
        <v>5</v>
      </c>
      <c r="D955">
        <v>92</v>
      </c>
    </row>
    <row r="956" spans="1:4" x14ac:dyDescent="0.3">
      <c r="A956">
        <v>345</v>
      </c>
      <c r="B956">
        <v>45</v>
      </c>
      <c r="C956">
        <v>4</v>
      </c>
      <c r="D956">
        <v>66</v>
      </c>
    </row>
    <row r="957" spans="1:4" x14ac:dyDescent="0.3">
      <c r="A957">
        <v>803</v>
      </c>
      <c r="B957">
        <v>22</v>
      </c>
      <c r="C957">
        <v>4</v>
      </c>
      <c r="D957">
        <v>102</v>
      </c>
    </row>
    <row r="958" spans="1:4" x14ac:dyDescent="0.3">
      <c r="A958">
        <v>208</v>
      </c>
      <c r="B958">
        <v>43</v>
      </c>
      <c r="C958">
        <v>5</v>
      </c>
      <c r="D958">
        <v>24</v>
      </c>
    </row>
    <row r="959" spans="1:4" x14ac:dyDescent="0.3">
      <c r="A959">
        <v>514</v>
      </c>
      <c r="B959">
        <v>19</v>
      </c>
      <c r="C959">
        <v>5</v>
      </c>
      <c r="D959">
        <v>108</v>
      </c>
    </row>
    <row r="960" spans="1:4" x14ac:dyDescent="0.3">
      <c r="A960">
        <v>636</v>
      </c>
      <c r="B960">
        <v>8</v>
      </c>
      <c r="C960">
        <v>1</v>
      </c>
      <c r="D960">
        <v>110</v>
      </c>
    </row>
    <row r="961" spans="1:4" x14ac:dyDescent="0.3">
      <c r="A961">
        <v>792</v>
      </c>
      <c r="B961">
        <v>8</v>
      </c>
      <c r="C961">
        <v>5</v>
      </c>
      <c r="D961">
        <v>85</v>
      </c>
    </row>
    <row r="962" spans="1:4" x14ac:dyDescent="0.3">
      <c r="A962">
        <v>586</v>
      </c>
      <c r="B962">
        <v>42</v>
      </c>
      <c r="C962">
        <v>4</v>
      </c>
      <c r="D962">
        <v>39</v>
      </c>
    </row>
    <row r="963" spans="1:4" x14ac:dyDescent="0.3">
      <c r="A963">
        <v>166</v>
      </c>
      <c r="B963">
        <v>26</v>
      </c>
      <c r="C963">
        <v>5</v>
      </c>
      <c r="D963">
        <v>29</v>
      </c>
    </row>
    <row r="964" spans="1:4" x14ac:dyDescent="0.3">
      <c r="A964">
        <v>22</v>
      </c>
      <c r="B964">
        <v>48</v>
      </c>
      <c r="C964">
        <v>1</v>
      </c>
      <c r="D964">
        <v>46</v>
      </c>
    </row>
    <row r="965" spans="1:4" x14ac:dyDescent="0.3">
      <c r="A965">
        <v>154</v>
      </c>
      <c r="B965">
        <v>26</v>
      </c>
      <c r="C965">
        <v>1</v>
      </c>
      <c r="D965">
        <v>12</v>
      </c>
    </row>
    <row r="966" spans="1:4" x14ac:dyDescent="0.3">
      <c r="A966">
        <v>939</v>
      </c>
      <c r="B966">
        <v>23</v>
      </c>
      <c r="C966">
        <v>1</v>
      </c>
      <c r="D966">
        <v>82</v>
      </c>
    </row>
    <row r="967" spans="1:4" x14ac:dyDescent="0.3">
      <c r="A967">
        <v>439</v>
      </c>
      <c r="B967">
        <v>43</v>
      </c>
      <c r="C967">
        <v>1</v>
      </c>
      <c r="D967">
        <v>50</v>
      </c>
    </row>
    <row r="968" spans="1:4" x14ac:dyDescent="0.3">
      <c r="A968">
        <v>295</v>
      </c>
      <c r="B968">
        <v>13</v>
      </c>
      <c r="C968">
        <v>3</v>
      </c>
      <c r="D968">
        <v>48</v>
      </c>
    </row>
    <row r="969" spans="1:4" x14ac:dyDescent="0.3">
      <c r="A969">
        <v>219</v>
      </c>
      <c r="B969">
        <v>28</v>
      </c>
      <c r="C969">
        <v>5</v>
      </c>
      <c r="D969">
        <v>35</v>
      </c>
    </row>
    <row r="970" spans="1:4" x14ac:dyDescent="0.3">
      <c r="A970">
        <v>669</v>
      </c>
      <c r="B970">
        <v>9</v>
      </c>
      <c r="C970">
        <v>2</v>
      </c>
      <c r="D970">
        <v>11</v>
      </c>
    </row>
    <row r="971" spans="1:4" x14ac:dyDescent="0.3">
      <c r="A971">
        <v>495</v>
      </c>
      <c r="B971">
        <v>20</v>
      </c>
      <c r="C971">
        <v>5</v>
      </c>
      <c r="D971">
        <v>32</v>
      </c>
    </row>
    <row r="972" spans="1:4" x14ac:dyDescent="0.3">
      <c r="A972">
        <v>230</v>
      </c>
      <c r="B972">
        <v>19</v>
      </c>
      <c r="C972">
        <v>3</v>
      </c>
      <c r="D972">
        <v>32</v>
      </c>
    </row>
    <row r="973" spans="1:4" x14ac:dyDescent="0.3">
      <c r="A973">
        <v>20</v>
      </c>
      <c r="B973">
        <v>48</v>
      </c>
      <c r="C973">
        <v>1</v>
      </c>
      <c r="D973">
        <v>94</v>
      </c>
    </row>
    <row r="974" spans="1:4" x14ac:dyDescent="0.3">
      <c r="A974">
        <v>987</v>
      </c>
      <c r="B974">
        <v>39</v>
      </c>
      <c r="C974">
        <v>3</v>
      </c>
      <c r="D974">
        <v>25</v>
      </c>
    </row>
    <row r="975" spans="1:4" x14ac:dyDescent="0.3">
      <c r="A975">
        <v>553</v>
      </c>
      <c r="B975">
        <v>12</v>
      </c>
      <c r="C975">
        <v>4</v>
      </c>
      <c r="D975">
        <v>18</v>
      </c>
    </row>
    <row r="976" spans="1:4" x14ac:dyDescent="0.3">
      <c r="A976">
        <v>950</v>
      </c>
      <c r="B976">
        <v>15</v>
      </c>
      <c r="C976">
        <v>4</v>
      </c>
      <c r="D976">
        <v>22</v>
      </c>
    </row>
    <row r="977" spans="1:4" x14ac:dyDescent="0.3">
      <c r="A977">
        <v>148</v>
      </c>
      <c r="B977">
        <v>31</v>
      </c>
      <c r="C977">
        <v>5</v>
      </c>
      <c r="D977">
        <v>37</v>
      </c>
    </row>
    <row r="978" spans="1:4" x14ac:dyDescent="0.3">
      <c r="A978">
        <v>108</v>
      </c>
      <c r="B978">
        <v>14</v>
      </c>
      <c r="C978">
        <v>5</v>
      </c>
      <c r="D978">
        <v>36</v>
      </c>
    </row>
    <row r="979" spans="1:4" x14ac:dyDescent="0.3">
      <c r="A979">
        <v>403</v>
      </c>
      <c r="B979">
        <v>11</v>
      </c>
      <c r="C979">
        <v>2</v>
      </c>
      <c r="D979">
        <v>60</v>
      </c>
    </row>
    <row r="980" spans="1:4" x14ac:dyDescent="0.3">
      <c r="A980">
        <v>596</v>
      </c>
      <c r="B980">
        <v>26</v>
      </c>
      <c r="C980">
        <v>2</v>
      </c>
      <c r="D980">
        <v>73</v>
      </c>
    </row>
    <row r="981" spans="1:4" x14ac:dyDescent="0.3">
      <c r="A981">
        <v>483</v>
      </c>
      <c r="B981">
        <v>42</v>
      </c>
      <c r="C981">
        <v>4</v>
      </c>
      <c r="D981">
        <v>61</v>
      </c>
    </row>
    <row r="982" spans="1:4" x14ac:dyDescent="0.3">
      <c r="A982">
        <v>367</v>
      </c>
      <c r="B982">
        <v>27</v>
      </c>
      <c r="C982">
        <v>1</v>
      </c>
      <c r="D982">
        <v>90</v>
      </c>
    </row>
    <row r="983" spans="1:4" x14ac:dyDescent="0.3">
      <c r="A983">
        <v>834</v>
      </c>
      <c r="B983">
        <v>11</v>
      </c>
      <c r="C983">
        <v>3</v>
      </c>
      <c r="D983">
        <v>47</v>
      </c>
    </row>
    <row r="984" spans="1:4" x14ac:dyDescent="0.3">
      <c r="A984">
        <v>414</v>
      </c>
      <c r="B984">
        <v>38</v>
      </c>
      <c r="C984">
        <v>2</v>
      </c>
      <c r="D984">
        <v>109</v>
      </c>
    </row>
    <row r="985" spans="1:4" x14ac:dyDescent="0.3">
      <c r="A985">
        <v>309</v>
      </c>
      <c r="B985">
        <v>34</v>
      </c>
      <c r="C985">
        <v>2</v>
      </c>
      <c r="D985">
        <v>74</v>
      </c>
    </row>
    <row r="986" spans="1:4" x14ac:dyDescent="0.3">
      <c r="A986">
        <v>802</v>
      </c>
      <c r="B986">
        <v>43</v>
      </c>
      <c r="C986">
        <v>1</v>
      </c>
      <c r="D986">
        <v>27</v>
      </c>
    </row>
    <row r="987" spans="1:4" x14ac:dyDescent="0.3">
      <c r="A987">
        <v>918</v>
      </c>
      <c r="B987">
        <v>19</v>
      </c>
      <c r="C987">
        <v>1</v>
      </c>
      <c r="D987">
        <v>72</v>
      </c>
    </row>
    <row r="988" spans="1:4" x14ac:dyDescent="0.3">
      <c r="A988">
        <v>835</v>
      </c>
      <c r="B988">
        <v>6</v>
      </c>
      <c r="C988">
        <v>5</v>
      </c>
      <c r="D988">
        <v>60</v>
      </c>
    </row>
    <row r="989" spans="1:4" x14ac:dyDescent="0.3">
      <c r="A989">
        <v>134</v>
      </c>
      <c r="B989">
        <v>46</v>
      </c>
      <c r="C989">
        <v>3</v>
      </c>
      <c r="D989">
        <v>18</v>
      </c>
    </row>
    <row r="990" spans="1:4" x14ac:dyDescent="0.3">
      <c r="A990">
        <v>719</v>
      </c>
      <c r="B990">
        <v>38</v>
      </c>
      <c r="C990">
        <v>1</v>
      </c>
      <c r="D990">
        <v>22</v>
      </c>
    </row>
    <row r="991" spans="1:4" x14ac:dyDescent="0.3">
      <c r="A991">
        <v>283</v>
      </c>
      <c r="B991">
        <v>49</v>
      </c>
      <c r="C991">
        <v>2</v>
      </c>
      <c r="D991">
        <v>49</v>
      </c>
    </row>
    <row r="992" spans="1:4" x14ac:dyDescent="0.3">
      <c r="A992">
        <v>778</v>
      </c>
      <c r="B992">
        <v>42</v>
      </c>
      <c r="C992">
        <v>2</v>
      </c>
      <c r="D992">
        <v>64</v>
      </c>
    </row>
    <row r="993" spans="1:4" x14ac:dyDescent="0.3">
      <c r="A993">
        <v>73</v>
      </c>
      <c r="B993">
        <v>28</v>
      </c>
      <c r="C993">
        <v>4</v>
      </c>
      <c r="D993">
        <v>118</v>
      </c>
    </row>
    <row r="994" spans="1:4" x14ac:dyDescent="0.3">
      <c r="A994">
        <v>481</v>
      </c>
      <c r="B994">
        <v>1</v>
      </c>
      <c r="C994">
        <v>1</v>
      </c>
      <c r="D994">
        <v>88</v>
      </c>
    </row>
    <row r="995" spans="1:4" x14ac:dyDescent="0.3">
      <c r="A995">
        <v>352</v>
      </c>
      <c r="B995">
        <v>35</v>
      </c>
      <c r="C995">
        <v>5</v>
      </c>
      <c r="D995">
        <v>52</v>
      </c>
    </row>
    <row r="996" spans="1:4" x14ac:dyDescent="0.3">
      <c r="A996">
        <v>560</v>
      </c>
      <c r="B996">
        <v>40</v>
      </c>
      <c r="C996">
        <v>3</v>
      </c>
      <c r="D996">
        <v>53</v>
      </c>
    </row>
    <row r="997" spans="1:4" x14ac:dyDescent="0.3">
      <c r="A997">
        <v>326</v>
      </c>
      <c r="B997">
        <v>8</v>
      </c>
      <c r="C997">
        <v>5</v>
      </c>
      <c r="D997">
        <v>119</v>
      </c>
    </row>
    <row r="998" spans="1:4" x14ac:dyDescent="0.3">
      <c r="A998">
        <v>745</v>
      </c>
      <c r="B998">
        <v>47</v>
      </c>
      <c r="C998">
        <v>2</v>
      </c>
      <c r="D998">
        <v>77</v>
      </c>
    </row>
    <row r="999" spans="1:4" x14ac:dyDescent="0.3">
      <c r="A999">
        <v>443</v>
      </c>
      <c r="B999">
        <v>7</v>
      </c>
      <c r="C999">
        <v>5</v>
      </c>
      <c r="D999">
        <v>42</v>
      </c>
    </row>
    <row r="1000" spans="1:4" x14ac:dyDescent="0.3">
      <c r="A1000">
        <v>100</v>
      </c>
      <c r="B1000">
        <v>11</v>
      </c>
      <c r="C1000">
        <v>2</v>
      </c>
      <c r="D1000">
        <v>33</v>
      </c>
    </row>
    <row r="1001" spans="1:4" x14ac:dyDescent="0.3">
      <c r="A1001">
        <v>59</v>
      </c>
      <c r="B1001">
        <v>39</v>
      </c>
      <c r="C1001">
        <v>2</v>
      </c>
      <c r="D1001">
        <v>45</v>
      </c>
    </row>
    <row r="1002" spans="1:4" x14ac:dyDescent="0.3">
      <c r="A1002">
        <v>508</v>
      </c>
      <c r="B1002">
        <v>4</v>
      </c>
      <c r="C1002">
        <v>2</v>
      </c>
      <c r="D1002">
        <v>114</v>
      </c>
    </row>
    <row r="1003" spans="1:4" x14ac:dyDescent="0.3">
      <c r="A1003">
        <v>258</v>
      </c>
      <c r="B1003">
        <v>25</v>
      </c>
      <c r="C1003">
        <v>2</v>
      </c>
      <c r="D1003">
        <v>19</v>
      </c>
    </row>
    <row r="1004" spans="1:4" x14ac:dyDescent="0.3">
      <c r="A1004">
        <v>413</v>
      </c>
      <c r="B1004">
        <v>12</v>
      </c>
      <c r="C1004">
        <v>2</v>
      </c>
      <c r="D1004">
        <v>109</v>
      </c>
    </row>
    <row r="1005" spans="1:4" x14ac:dyDescent="0.3">
      <c r="A1005">
        <v>452</v>
      </c>
      <c r="B1005">
        <v>26</v>
      </c>
      <c r="C1005">
        <v>4</v>
      </c>
      <c r="D1005">
        <v>29</v>
      </c>
    </row>
    <row r="1006" spans="1:4" x14ac:dyDescent="0.3">
      <c r="A1006">
        <v>65</v>
      </c>
      <c r="B1006">
        <v>38</v>
      </c>
      <c r="C1006">
        <v>5</v>
      </c>
      <c r="D1006">
        <v>114</v>
      </c>
    </row>
    <row r="1007" spans="1:4" x14ac:dyDescent="0.3">
      <c r="A1007">
        <v>595</v>
      </c>
      <c r="B1007">
        <v>46</v>
      </c>
      <c r="C1007">
        <v>4</v>
      </c>
      <c r="D1007">
        <v>118</v>
      </c>
    </row>
    <row r="1008" spans="1:4" x14ac:dyDescent="0.3">
      <c r="A1008">
        <v>154</v>
      </c>
      <c r="B1008">
        <v>12</v>
      </c>
      <c r="C1008">
        <v>4</v>
      </c>
      <c r="D1008">
        <v>117</v>
      </c>
    </row>
    <row r="1009" spans="1:4" x14ac:dyDescent="0.3">
      <c r="A1009">
        <v>985</v>
      </c>
      <c r="B1009">
        <v>43</v>
      </c>
      <c r="C1009">
        <v>1</v>
      </c>
      <c r="D1009">
        <v>84</v>
      </c>
    </row>
    <row r="1010" spans="1:4" x14ac:dyDescent="0.3">
      <c r="A1010">
        <v>266</v>
      </c>
      <c r="B1010">
        <v>37</v>
      </c>
      <c r="C1010">
        <v>1</v>
      </c>
      <c r="D1010">
        <v>21</v>
      </c>
    </row>
    <row r="1011" spans="1:4" x14ac:dyDescent="0.3">
      <c r="A1011">
        <v>821</v>
      </c>
      <c r="B1011">
        <v>46</v>
      </c>
      <c r="C1011">
        <v>1</v>
      </c>
      <c r="D1011">
        <v>71</v>
      </c>
    </row>
    <row r="1012" spans="1:4" x14ac:dyDescent="0.3">
      <c r="A1012">
        <v>79</v>
      </c>
      <c r="B1012">
        <v>24</v>
      </c>
      <c r="C1012">
        <v>3</v>
      </c>
      <c r="D1012">
        <v>27</v>
      </c>
    </row>
    <row r="1013" spans="1:4" x14ac:dyDescent="0.3">
      <c r="A1013">
        <v>315</v>
      </c>
      <c r="B1013">
        <v>16</v>
      </c>
      <c r="C1013">
        <v>1</v>
      </c>
      <c r="D1013">
        <v>103</v>
      </c>
    </row>
    <row r="1014" spans="1:4" x14ac:dyDescent="0.3">
      <c r="A1014">
        <v>662</v>
      </c>
      <c r="B1014">
        <v>13</v>
      </c>
      <c r="C1014">
        <v>5</v>
      </c>
      <c r="D1014">
        <v>117</v>
      </c>
    </row>
    <row r="1015" spans="1:4" x14ac:dyDescent="0.3">
      <c r="A1015">
        <v>947</v>
      </c>
      <c r="B1015">
        <v>25</v>
      </c>
      <c r="C1015">
        <v>4</v>
      </c>
      <c r="D1015">
        <v>110</v>
      </c>
    </row>
    <row r="1016" spans="1:4" x14ac:dyDescent="0.3">
      <c r="A1016">
        <v>560</v>
      </c>
      <c r="B1016">
        <v>4</v>
      </c>
      <c r="C1016">
        <v>5</v>
      </c>
      <c r="D1016">
        <v>72</v>
      </c>
    </row>
    <row r="1017" spans="1:4" x14ac:dyDescent="0.3">
      <c r="A1017">
        <v>917</v>
      </c>
      <c r="B1017">
        <v>11</v>
      </c>
      <c r="C1017">
        <v>1</v>
      </c>
      <c r="D1017">
        <v>93</v>
      </c>
    </row>
    <row r="1018" spans="1:4" x14ac:dyDescent="0.3">
      <c r="A1018">
        <v>891</v>
      </c>
      <c r="B1018">
        <v>32</v>
      </c>
      <c r="C1018">
        <v>3</v>
      </c>
      <c r="D1018">
        <v>34</v>
      </c>
    </row>
    <row r="1019" spans="1:4" x14ac:dyDescent="0.3">
      <c r="A1019">
        <v>248</v>
      </c>
      <c r="B1019">
        <v>49</v>
      </c>
      <c r="C1019">
        <v>3</v>
      </c>
      <c r="D1019">
        <v>21</v>
      </c>
    </row>
    <row r="1020" spans="1:4" x14ac:dyDescent="0.3">
      <c r="A1020">
        <v>790</v>
      </c>
      <c r="B1020">
        <v>7</v>
      </c>
      <c r="C1020">
        <v>4</v>
      </c>
      <c r="D1020">
        <v>30</v>
      </c>
    </row>
    <row r="1021" spans="1:4" x14ac:dyDescent="0.3">
      <c r="A1021">
        <v>868</v>
      </c>
      <c r="B1021">
        <v>46</v>
      </c>
      <c r="C1021">
        <v>5</v>
      </c>
      <c r="D1021">
        <v>34</v>
      </c>
    </row>
    <row r="1022" spans="1:4" x14ac:dyDescent="0.3">
      <c r="A1022">
        <v>610</v>
      </c>
      <c r="B1022">
        <v>11</v>
      </c>
      <c r="C1022">
        <v>2</v>
      </c>
      <c r="D1022">
        <v>20</v>
      </c>
    </row>
    <row r="1023" spans="1:4" x14ac:dyDescent="0.3">
      <c r="A1023">
        <v>414</v>
      </c>
      <c r="B1023">
        <v>28</v>
      </c>
      <c r="C1023">
        <v>5</v>
      </c>
      <c r="D1023">
        <v>73</v>
      </c>
    </row>
    <row r="1024" spans="1:4" x14ac:dyDescent="0.3">
      <c r="A1024">
        <v>25</v>
      </c>
      <c r="B1024">
        <v>41</v>
      </c>
      <c r="C1024">
        <v>1</v>
      </c>
      <c r="D1024">
        <v>82</v>
      </c>
    </row>
    <row r="1025" spans="1:4" x14ac:dyDescent="0.3">
      <c r="A1025">
        <v>284</v>
      </c>
      <c r="B1025">
        <v>23</v>
      </c>
      <c r="C1025">
        <v>2</v>
      </c>
      <c r="D1025">
        <v>59</v>
      </c>
    </row>
    <row r="1026" spans="1:4" x14ac:dyDescent="0.3">
      <c r="A1026">
        <v>449</v>
      </c>
      <c r="B1026">
        <v>45</v>
      </c>
      <c r="C1026">
        <v>3</v>
      </c>
      <c r="D1026">
        <v>71</v>
      </c>
    </row>
    <row r="1027" spans="1:4" x14ac:dyDescent="0.3">
      <c r="A1027">
        <v>881</v>
      </c>
      <c r="B1027">
        <v>23</v>
      </c>
      <c r="C1027">
        <v>4</v>
      </c>
      <c r="D1027">
        <v>98</v>
      </c>
    </row>
    <row r="1028" spans="1:4" x14ac:dyDescent="0.3">
      <c r="A1028">
        <v>301</v>
      </c>
      <c r="B1028">
        <v>50</v>
      </c>
      <c r="C1028">
        <v>4</v>
      </c>
      <c r="D1028">
        <v>108</v>
      </c>
    </row>
    <row r="1029" spans="1:4" x14ac:dyDescent="0.3">
      <c r="A1029">
        <v>68</v>
      </c>
      <c r="B1029">
        <v>28</v>
      </c>
      <c r="C1029">
        <v>3</v>
      </c>
      <c r="D1029">
        <v>105</v>
      </c>
    </row>
    <row r="1030" spans="1:4" x14ac:dyDescent="0.3">
      <c r="A1030">
        <v>7</v>
      </c>
      <c r="B1030">
        <v>43</v>
      </c>
      <c r="C1030">
        <v>1</v>
      </c>
      <c r="D1030">
        <v>58</v>
      </c>
    </row>
    <row r="1031" spans="1:4" x14ac:dyDescent="0.3">
      <c r="A1031">
        <v>817</v>
      </c>
      <c r="B1031">
        <v>47</v>
      </c>
      <c r="C1031">
        <v>3</v>
      </c>
      <c r="D1031">
        <v>23</v>
      </c>
    </row>
    <row r="1032" spans="1:4" x14ac:dyDescent="0.3">
      <c r="A1032">
        <v>137</v>
      </c>
      <c r="B1032">
        <v>26</v>
      </c>
      <c r="C1032">
        <v>1</v>
      </c>
      <c r="D1032">
        <v>10</v>
      </c>
    </row>
    <row r="1033" spans="1:4" x14ac:dyDescent="0.3">
      <c r="A1033">
        <v>164</v>
      </c>
      <c r="B1033">
        <v>25</v>
      </c>
      <c r="C1033">
        <v>2</v>
      </c>
      <c r="D1033">
        <v>90</v>
      </c>
    </row>
    <row r="1034" spans="1:4" x14ac:dyDescent="0.3">
      <c r="A1034">
        <v>83</v>
      </c>
      <c r="B1034">
        <v>29</v>
      </c>
      <c r="C1034">
        <v>3</v>
      </c>
      <c r="D1034">
        <v>34</v>
      </c>
    </row>
    <row r="1035" spans="1:4" x14ac:dyDescent="0.3">
      <c r="A1035">
        <v>897</v>
      </c>
      <c r="B1035">
        <v>19</v>
      </c>
      <c r="C1035">
        <v>1</v>
      </c>
      <c r="D1035">
        <v>68</v>
      </c>
    </row>
    <row r="1036" spans="1:4" x14ac:dyDescent="0.3">
      <c r="A1036">
        <v>650</v>
      </c>
      <c r="B1036">
        <v>33</v>
      </c>
      <c r="C1036">
        <v>2</v>
      </c>
      <c r="D1036">
        <v>81</v>
      </c>
    </row>
    <row r="1037" spans="1:4" x14ac:dyDescent="0.3">
      <c r="A1037">
        <v>420</v>
      </c>
      <c r="B1037">
        <v>36</v>
      </c>
      <c r="C1037">
        <v>3</v>
      </c>
      <c r="D1037">
        <v>78</v>
      </c>
    </row>
    <row r="1038" spans="1:4" x14ac:dyDescent="0.3">
      <c r="A1038">
        <v>73</v>
      </c>
      <c r="B1038">
        <v>14</v>
      </c>
      <c r="C1038">
        <v>4</v>
      </c>
      <c r="D1038">
        <v>14</v>
      </c>
    </row>
    <row r="1039" spans="1:4" x14ac:dyDescent="0.3">
      <c r="A1039">
        <v>237</v>
      </c>
      <c r="B1039">
        <v>14</v>
      </c>
      <c r="C1039">
        <v>3</v>
      </c>
      <c r="D1039">
        <v>114</v>
      </c>
    </row>
    <row r="1040" spans="1:4" x14ac:dyDescent="0.3">
      <c r="A1040">
        <v>46</v>
      </c>
      <c r="B1040">
        <v>35</v>
      </c>
      <c r="C1040">
        <v>5</v>
      </c>
      <c r="D1040">
        <v>108</v>
      </c>
    </row>
    <row r="1041" spans="1:4" x14ac:dyDescent="0.3">
      <c r="A1041">
        <v>618</v>
      </c>
      <c r="B1041">
        <v>30</v>
      </c>
      <c r="C1041">
        <v>3</v>
      </c>
      <c r="D1041">
        <v>28</v>
      </c>
    </row>
    <row r="1042" spans="1:4" x14ac:dyDescent="0.3">
      <c r="A1042">
        <v>928</v>
      </c>
      <c r="B1042">
        <v>28</v>
      </c>
      <c r="C1042">
        <v>5</v>
      </c>
      <c r="D1042">
        <v>32</v>
      </c>
    </row>
    <row r="1043" spans="1:4" x14ac:dyDescent="0.3">
      <c r="A1043">
        <v>800</v>
      </c>
      <c r="B1043">
        <v>17</v>
      </c>
      <c r="C1043">
        <v>2</v>
      </c>
      <c r="D1043">
        <v>18</v>
      </c>
    </row>
    <row r="1044" spans="1:4" x14ac:dyDescent="0.3">
      <c r="A1044">
        <v>262</v>
      </c>
      <c r="B1044">
        <v>3</v>
      </c>
      <c r="C1044">
        <v>3</v>
      </c>
      <c r="D1044">
        <v>103</v>
      </c>
    </row>
    <row r="1045" spans="1:4" x14ac:dyDescent="0.3">
      <c r="A1045">
        <v>176</v>
      </c>
      <c r="B1045">
        <v>16</v>
      </c>
      <c r="C1045">
        <v>2</v>
      </c>
      <c r="D1045">
        <v>59</v>
      </c>
    </row>
    <row r="1046" spans="1:4" x14ac:dyDescent="0.3">
      <c r="A1046">
        <v>166</v>
      </c>
      <c r="B1046">
        <v>46</v>
      </c>
      <c r="C1046">
        <v>2</v>
      </c>
      <c r="D1046">
        <v>25</v>
      </c>
    </row>
    <row r="1047" spans="1:4" x14ac:dyDescent="0.3">
      <c r="A1047">
        <v>657</v>
      </c>
      <c r="B1047">
        <v>30</v>
      </c>
      <c r="C1047">
        <v>1</v>
      </c>
      <c r="D1047">
        <v>42</v>
      </c>
    </row>
    <row r="1048" spans="1:4" x14ac:dyDescent="0.3">
      <c r="A1048">
        <v>842</v>
      </c>
      <c r="B1048">
        <v>29</v>
      </c>
      <c r="C1048">
        <v>2</v>
      </c>
      <c r="D1048">
        <v>11</v>
      </c>
    </row>
    <row r="1049" spans="1:4" x14ac:dyDescent="0.3">
      <c r="A1049">
        <v>370</v>
      </c>
      <c r="B1049">
        <v>45</v>
      </c>
      <c r="C1049">
        <v>2</v>
      </c>
      <c r="D1049">
        <v>23</v>
      </c>
    </row>
    <row r="1050" spans="1:4" x14ac:dyDescent="0.3">
      <c r="A1050">
        <v>795</v>
      </c>
      <c r="B1050">
        <v>15</v>
      </c>
      <c r="C1050">
        <v>3</v>
      </c>
      <c r="D1050">
        <v>119</v>
      </c>
    </row>
    <row r="1051" spans="1:4" x14ac:dyDescent="0.3">
      <c r="A1051">
        <v>54</v>
      </c>
      <c r="B1051">
        <v>46</v>
      </c>
      <c r="C1051">
        <v>3</v>
      </c>
      <c r="D1051">
        <v>10</v>
      </c>
    </row>
    <row r="1052" spans="1:4" x14ac:dyDescent="0.3">
      <c r="A1052">
        <v>690</v>
      </c>
      <c r="B1052">
        <v>25</v>
      </c>
      <c r="C1052">
        <v>4</v>
      </c>
      <c r="D1052">
        <v>99</v>
      </c>
    </row>
    <row r="1053" spans="1:4" x14ac:dyDescent="0.3">
      <c r="A1053">
        <v>419</v>
      </c>
      <c r="B1053">
        <v>38</v>
      </c>
      <c r="C1053">
        <v>1</v>
      </c>
      <c r="D1053">
        <v>67</v>
      </c>
    </row>
    <row r="1054" spans="1:4" x14ac:dyDescent="0.3">
      <c r="A1054">
        <v>756</v>
      </c>
      <c r="B1054">
        <v>42</v>
      </c>
      <c r="C1054">
        <v>2</v>
      </c>
      <c r="D1054">
        <v>98</v>
      </c>
    </row>
    <row r="1055" spans="1:4" x14ac:dyDescent="0.3">
      <c r="A1055">
        <v>507</v>
      </c>
      <c r="B1055">
        <v>47</v>
      </c>
      <c r="C1055">
        <v>1</v>
      </c>
      <c r="D1055">
        <v>25</v>
      </c>
    </row>
    <row r="1056" spans="1:4" x14ac:dyDescent="0.3">
      <c r="A1056">
        <v>341</v>
      </c>
      <c r="B1056">
        <v>38</v>
      </c>
      <c r="C1056">
        <v>5</v>
      </c>
      <c r="D1056">
        <v>88</v>
      </c>
    </row>
    <row r="1057" spans="1:4" x14ac:dyDescent="0.3">
      <c r="A1057">
        <v>127</v>
      </c>
      <c r="B1057">
        <v>23</v>
      </c>
      <c r="C1057">
        <v>2</v>
      </c>
      <c r="D1057">
        <v>99</v>
      </c>
    </row>
    <row r="1058" spans="1:4" x14ac:dyDescent="0.3">
      <c r="A1058">
        <v>409</v>
      </c>
      <c r="B1058">
        <v>25</v>
      </c>
      <c r="C1058">
        <v>1</v>
      </c>
      <c r="D1058">
        <v>56</v>
      </c>
    </row>
    <row r="1059" spans="1:4" x14ac:dyDescent="0.3">
      <c r="A1059">
        <v>924</v>
      </c>
      <c r="B1059">
        <v>42</v>
      </c>
      <c r="C1059">
        <v>4</v>
      </c>
      <c r="D1059">
        <v>53</v>
      </c>
    </row>
    <row r="1060" spans="1:4" x14ac:dyDescent="0.3">
      <c r="A1060">
        <v>367</v>
      </c>
      <c r="B1060">
        <v>7</v>
      </c>
      <c r="C1060">
        <v>4</v>
      </c>
      <c r="D1060">
        <v>89</v>
      </c>
    </row>
    <row r="1061" spans="1:4" x14ac:dyDescent="0.3">
      <c r="A1061">
        <v>271</v>
      </c>
      <c r="B1061">
        <v>22</v>
      </c>
      <c r="C1061">
        <v>2</v>
      </c>
      <c r="D1061">
        <v>23</v>
      </c>
    </row>
    <row r="1062" spans="1:4" x14ac:dyDescent="0.3">
      <c r="A1062">
        <v>644</v>
      </c>
      <c r="B1062">
        <v>17</v>
      </c>
      <c r="C1062">
        <v>5</v>
      </c>
      <c r="D1062">
        <v>102</v>
      </c>
    </row>
    <row r="1063" spans="1:4" x14ac:dyDescent="0.3">
      <c r="A1063">
        <v>605</v>
      </c>
      <c r="B1063">
        <v>18</v>
      </c>
      <c r="C1063">
        <v>4</v>
      </c>
      <c r="D1063">
        <v>33</v>
      </c>
    </row>
    <row r="1064" spans="1:4" x14ac:dyDescent="0.3">
      <c r="A1064">
        <v>379</v>
      </c>
      <c r="B1064">
        <v>49</v>
      </c>
      <c r="C1064">
        <v>4</v>
      </c>
      <c r="D1064">
        <v>64</v>
      </c>
    </row>
    <row r="1065" spans="1:4" x14ac:dyDescent="0.3">
      <c r="A1065">
        <v>73</v>
      </c>
      <c r="B1065">
        <v>41</v>
      </c>
      <c r="C1065">
        <v>5</v>
      </c>
      <c r="D1065">
        <v>24</v>
      </c>
    </row>
    <row r="1066" spans="1:4" x14ac:dyDescent="0.3">
      <c r="A1066">
        <v>923</v>
      </c>
      <c r="B1066">
        <v>10</v>
      </c>
      <c r="C1066">
        <v>1</v>
      </c>
      <c r="D1066">
        <v>92</v>
      </c>
    </row>
    <row r="1067" spans="1:4" x14ac:dyDescent="0.3">
      <c r="A1067">
        <v>922</v>
      </c>
      <c r="B1067">
        <v>10</v>
      </c>
      <c r="C1067">
        <v>4</v>
      </c>
      <c r="D1067">
        <v>81</v>
      </c>
    </row>
    <row r="1068" spans="1:4" x14ac:dyDescent="0.3">
      <c r="A1068">
        <v>915</v>
      </c>
      <c r="B1068">
        <v>7</v>
      </c>
      <c r="C1068">
        <v>3</v>
      </c>
      <c r="D1068">
        <v>43</v>
      </c>
    </row>
    <row r="1069" spans="1:4" x14ac:dyDescent="0.3">
      <c r="A1069">
        <v>248</v>
      </c>
      <c r="B1069">
        <v>48</v>
      </c>
      <c r="C1069">
        <v>4</v>
      </c>
      <c r="D1069">
        <v>11</v>
      </c>
    </row>
    <row r="1070" spans="1:4" x14ac:dyDescent="0.3">
      <c r="A1070">
        <v>860</v>
      </c>
      <c r="B1070">
        <v>50</v>
      </c>
      <c r="C1070">
        <v>1</v>
      </c>
      <c r="D1070">
        <v>36</v>
      </c>
    </row>
    <row r="1071" spans="1:4" x14ac:dyDescent="0.3">
      <c r="A1071">
        <v>785</v>
      </c>
      <c r="B1071">
        <v>38</v>
      </c>
      <c r="C1071">
        <v>1</v>
      </c>
      <c r="D1071">
        <v>83</v>
      </c>
    </row>
    <row r="1072" spans="1:4" x14ac:dyDescent="0.3">
      <c r="A1072">
        <v>43</v>
      </c>
      <c r="B1072">
        <v>27</v>
      </c>
      <c r="C1072">
        <v>2</v>
      </c>
      <c r="D1072">
        <v>108</v>
      </c>
    </row>
    <row r="1073" spans="1:4" x14ac:dyDescent="0.3">
      <c r="A1073">
        <v>377</v>
      </c>
      <c r="B1073">
        <v>33</v>
      </c>
      <c r="C1073">
        <v>3</v>
      </c>
      <c r="D1073">
        <v>96</v>
      </c>
    </row>
    <row r="1074" spans="1:4" x14ac:dyDescent="0.3">
      <c r="A1074">
        <v>41</v>
      </c>
      <c r="B1074">
        <v>1</v>
      </c>
      <c r="C1074">
        <v>1</v>
      </c>
      <c r="D1074">
        <v>81</v>
      </c>
    </row>
    <row r="1075" spans="1:4" x14ac:dyDescent="0.3">
      <c r="A1075">
        <v>170</v>
      </c>
      <c r="B1075">
        <v>44</v>
      </c>
      <c r="C1075">
        <v>5</v>
      </c>
      <c r="D1075">
        <v>101</v>
      </c>
    </row>
    <row r="1076" spans="1:4" x14ac:dyDescent="0.3">
      <c r="A1076">
        <v>946</v>
      </c>
      <c r="B1076">
        <v>34</v>
      </c>
      <c r="C1076">
        <v>3</v>
      </c>
      <c r="D1076">
        <v>32</v>
      </c>
    </row>
    <row r="1077" spans="1:4" x14ac:dyDescent="0.3">
      <c r="A1077">
        <v>212</v>
      </c>
      <c r="B1077">
        <v>4</v>
      </c>
      <c r="C1077">
        <v>3</v>
      </c>
      <c r="D1077">
        <v>77</v>
      </c>
    </row>
    <row r="1078" spans="1:4" x14ac:dyDescent="0.3">
      <c r="A1078">
        <v>493</v>
      </c>
      <c r="B1078">
        <v>17</v>
      </c>
      <c r="C1078">
        <v>5</v>
      </c>
      <c r="D1078">
        <v>23</v>
      </c>
    </row>
    <row r="1079" spans="1:4" x14ac:dyDescent="0.3">
      <c r="A1079">
        <v>680</v>
      </c>
      <c r="B1079">
        <v>4</v>
      </c>
      <c r="C1079">
        <v>4</v>
      </c>
      <c r="D1079">
        <v>72</v>
      </c>
    </row>
    <row r="1080" spans="1:4" x14ac:dyDescent="0.3">
      <c r="A1080">
        <v>39</v>
      </c>
      <c r="B1080">
        <v>43</v>
      </c>
      <c r="C1080">
        <v>5</v>
      </c>
      <c r="D1080">
        <v>115</v>
      </c>
    </row>
    <row r="1081" spans="1:4" x14ac:dyDescent="0.3">
      <c r="A1081">
        <v>369</v>
      </c>
      <c r="B1081">
        <v>26</v>
      </c>
      <c r="C1081">
        <v>5</v>
      </c>
      <c r="D1081">
        <v>102</v>
      </c>
    </row>
    <row r="1082" spans="1:4" x14ac:dyDescent="0.3">
      <c r="A1082">
        <v>757</v>
      </c>
      <c r="B1082">
        <v>4</v>
      </c>
      <c r="C1082">
        <v>4</v>
      </c>
      <c r="D1082">
        <v>74</v>
      </c>
    </row>
    <row r="1083" spans="1:4" x14ac:dyDescent="0.3">
      <c r="A1083">
        <v>151</v>
      </c>
      <c r="B1083">
        <v>1</v>
      </c>
      <c r="C1083">
        <v>4</v>
      </c>
      <c r="D1083">
        <v>77</v>
      </c>
    </row>
    <row r="1084" spans="1:4" x14ac:dyDescent="0.3">
      <c r="A1084">
        <v>111</v>
      </c>
      <c r="B1084">
        <v>7</v>
      </c>
      <c r="C1084">
        <v>4</v>
      </c>
      <c r="D1084">
        <v>72</v>
      </c>
    </row>
    <row r="1085" spans="1:4" x14ac:dyDescent="0.3">
      <c r="A1085">
        <v>480</v>
      </c>
      <c r="B1085">
        <v>30</v>
      </c>
      <c r="C1085">
        <v>4</v>
      </c>
      <c r="D1085">
        <v>105</v>
      </c>
    </row>
    <row r="1086" spans="1:4" x14ac:dyDescent="0.3">
      <c r="A1086">
        <v>436</v>
      </c>
      <c r="B1086">
        <v>50</v>
      </c>
      <c r="C1086">
        <v>4</v>
      </c>
      <c r="D1086">
        <v>106</v>
      </c>
    </row>
    <row r="1087" spans="1:4" x14ac:dyDescent="0.3">
      <c r="A1087">
        <v>47</v>
      </c>
      <c r="B1087">
        <v>9</v>
      </c>
      <c r="C1087">
        <v>5</v>
      </c>
      <c r="D1087">
        <v>99</v>
      </c>
    </row>
    <row r="1088" spans="1:4" x14ac:dyDescent="0.3">
      <c r="A1088">
        <v>575</v>
      </c>
      <c r="B1088">
        <v>35</v>
      </c>
      <c r="C1088">
        <v>2</v>
      </c>
      <c r="D1088">
        <v>90</v>
      </c>
    </row>
    <row r="1089" spans="1:4" x14ac:dyDescent="0.3">
      <c r="A1089">
        <v>737</v>
      </c>
      <c r="B1089">
        <v>8</v>
      </c>
      <c r="C1089">
        <v>2</v>
      </c>
      <c r="D1089">
        <v>112</v>
      </c>
    </row>
    <row r="1090" spans="1:4" x14ac:dyDescent="0.3">
      <c r="A1090">
        <v>366</v>
      </c>
      <c r="B1090">
        <v>24</v>
      </c>
      <c r="C1090">
        <v>1</v>
      </c>
      <c r="D1090">
        <v>96</v>
      </c>
    </row>
    <row r="1091" spans="1:4" x14ac:dyDescent="0.3">
      <c r="A1091">
        <v>69</v>
      </c>
      <c r="B1091">
        <v>19</v>
      </c>
      <c r="C1091">
        <v>2</v>
      </c>
      <c r="D1091">
        <v>73</v>
      </c>
    </row>
    <row r="1092" spans="1:4" x14ac:dyDescent="0.3">
      <c r="A1092">
        <v>299</v>
      </c>
      <c r="B1092">
        <v>36</v>
      </c>
      <c r="C1092">
        <v>2</v>
      </c>
      <c r="D1092">
        <v>41</v>
      </c>
    </row>
    <row r="1093" spans="1:4" x14ac:dyDescent="0.3">
      <c r="A1093">
        <v>944</v>
      </c>
      <c r="B1093">
        <v>50</v>
      </c>
      <c r="C1093">
        <v>5</v>
      </c>
      <c r="D1093">
        <v>88</v>
      </c>
    </row>
    <row r="1094" spans="1:4" x14ac:dyDescent="0.3">
      <c r="A1094">
        <v>802</v>
      </c>
      <c r="B1094">
        <v>43</v>
      </c>
      <c r="C1094">
        <v>4</v>
      </c>
      <c r="D1094">
        <v>22</v>
      </c>
    </row>
    <row r="1095" spans="1:4" x14ac:dyDescent="0.3">
      <c r="A1095">
        <v>296</v>
      </c>
      <c r="B1095">
        <v>27</v>
      </c>
      <c r="C1095">
        <v>4</v>
      </c>
      <c r="D1095">
        <v>75</v>
      </c>
    </row>
    <row r="1096" spans="1:4" x14ac:dyDescent="0.3">
      <c r="A1096">
        <v>203</v>
      </c>
      <c r="B1096">
        <v>32</v>
      </c>
      <c r="C1096">
        <v>5</v>
      </c>
      <c r="D1096">
        <v>28</v>
      </c>
    </row>
    <row r="1097" spans="1:4" x14ac:dyDescent="0.3">
      <c r="A1097">
        <v>61</v>
      </c>
      <c r="B1097">
        <v>14</v>
      </c>
      <c r="C1097">
        <v>2</v>
      </c>
      <c r="D1097">
        <v>33</v>
      </c>
    </row>
    <row r="1098" spans="1:4" x14ac:dyDescent="0.3">
      <c r="A1098">
        <v>946</v>
      </c>
      <c r="B1098">
        <v>18</v>
      </c>
      <c r="C1098">
        <v>5</v>
      </c>
      <c r="D1098">
        <v>118</v>
      </c>
    </row>
    <row r="1099" spans="1:4" x14ac:dyDescent="0.3">
      <c r="A1099">
        <v>963</v>
      </c>
      <c r="B1099">
        <v>28</v>
      </c>
      <c r="C1099">
        <v>1</v>
      </c>
      <c r="D1099">
        <v>97</v>
      </c>
    </row>
    <row r="1100" spans="1:4" x14ac:dyDescent="0.3">
      <c r="A1100">
        <v>830</v>
      </c>
      <c r="B1100">
        <v>29</v>
      </c>
      <c r="C1100">
        <v>4</v>
      </c>
      <c r="D1100">
        <v>20</v>
      </c>
    </row>
    <row r="1101" spans="1:4" x14ac:dyDescent="0.3">
      <c r="A1101">
        <v>314</v>
      </c>
      <c r="B1101">
        <v>16</v>
      </c>
      <c r="C1101">
        <v>3</v>
      </c>
      <c r="D1101">
        <v>68</v>
      </c>
    </row>
    <row r="1102" spans="1:4" x14ac:dyDescent="0.3">
      <c r="A1102">
        <v>161</v>
      </c>
      <c r="B1102">
        <v>35</v>
      </c>
      <c r="C1102">
        <v>1</v>
      </c>
      <c r="D1102">
        <v>95</v>
      </c>
    </row>
    <row r="1103" spans="1:4" x14ac:dyDescent="0.3">
      <c r="A1103">
        <v>331</v>
      </c>
      <c r="B1103">
        <v>47</v>
      </c>
      <c r="C1103">
        <v>1</v>
      </c>
      <c r="D1103">
        <v>24</v>
      </c>
    </row>
    <row r="1104" spans="1:4" x14ac:dyDescent="0.3">
      <c r="A1104">
        <v>528</v>
      </c>
      <c r="B1104">
        <v>31</v>
      </c>
      <c r="C1104">
        <v>5</v>
      </c>
      <c r="D1104">
        <v>19</v>
      </c>
    </row>
    <row r="1105" spans="1:4" x14ac:dyDescent="0.3">
      <c r="A1105">
        <v>338</v>
      </c>
      <c r="B1105">
        <v>4</v>
      </c>
      <c r="C1105">
        <v>2</v>
      </c>
      <c r="D1105">
        <v>50</v>
      </c>
    </row>
    <row r="1106" spans="1:4" x14ac:dyDescent="0.3">
      <c r="A1106">
        <v>606</v>
      </c>
      <c r="B1106">
        <v>37</v>
      </c>
      <c r="C1106">
        <v>4</v>
      </c>
      <c r="D1106">
        <v>36</v>
      </c>
    </row>
    <row r="1107" spans="1:4" x14ac:dyDescent="0.3">
      <c r="A1107">
        <v>304</v>
      </c>
      <c r="B1107">
        <v>17</v>
      </c>
      <c r="C1107">
        <v>3</v>
      </c>
      <c r="D1107">
        <v>69</v>
      </c>
    </row>
    <row r="1108" spans="1:4" x14ac:dyDescent="0.3">
      <c r="A1108">
        <v>503</v>
      </c>
      <c r="B1108">
        <v>39</v>
      </c>
      <c r="C1108">
        <v>1</v>
      </c>
      <c r="D1108">
        <v>82</v>
      </c>
    </row>
    <row r="1109" spans="1:4" x14ac:dyDescent="0.3">
      <c r="A1109">
        <v>650</v>
      </c>
      <c r="B1109">
        <v>48</v>
      </c>
      <c r="C1109">
        <v>3</v>
      </c>
      <c r="D1109">
        <v>61</v>
      </c>
    </row>
    <row r="1110" spans="1:4" x14ac:dyDescent="0.3">
      <c r="A1110">
        <v>338</v>
      </c>
      <c r="B1110">
        <v>46</v>
      </c>
      <c r="C1110">
        <v>2</v>
      </c>
      <c r="D1110">
        <v>37</v>
      </c>
    </row>
    <row r="1111" spans="1:4" x14ac:dyDescent="0.3">
      <c r="A1111">
        <v>550</v>
      </c>
      <c r="B1111">
        <v>26</v>
      </c>
      <c r="C1111">
        <v>2</v>
      </c>
      <c r="D1111">
        <v>74</v>
      </c>
    </row>
    <row r="1112" spans="1:4" x14ac:dyDescent="0.3">
      <c r="A1112">
        <v>639</v>
      </c>
      <c r="B1112">
        <v>48</v>
      </c>
      <c r="C1112">
        <v>3</v>
      </c>
      <c r="D1112">
        <v>26</v>
      </c>
    </row>
    <row r="1113" spans="1:4" x14ac:dyDescent="0.3">
      <c r="A1113">
        <v>275</v>
      </c>
      <c r="B1113">
        <v>39</v>
      </c>
      <c r="C1113">
        <v>4</v>
      </c>
      <c r="D1113">
        <v>104</v>
      </c>
    </row>
    <row r="1114" spans="1:4" x14ac:dyDescent="0.3">
      <c r="A1114">
        <v>164</v>
      </c>
      <c r="B1114">
        <v>41</v>
      </c>
      <c r="C1114">
        <v>2</v>
      </c>
      <c r="D1114">
        <v>53</v>
      </c>
    </row>
    <row r="1115" spans="1:4" x14ac:dyDescent="0.3">
      <c r="A1115">
        <v>443</v>
      </c>
      <c r="B1115">
        <v>4</v>
      </c>
      <c r="C1115">
        <v>3</v>
      </c>
      <c r="D1115">
        <v>19</v>
      </c>
    </row>
    <row r="1116" spans="1:4" x14ac:dyDescent="0.3">
      <c r="A1116">
        <v>319</v>
      </c>
      <c r="B1116">
        <v>30</v>
      </c>
      <c r="C1116">
        <v>1</v>
      </c>
      <c r="D1116">
        <v>72</v>
      </c>
    </row>
    <row r="1117" spans="1:4" x14ac:dyDescent="0.3">
      <c r="A1117">
        <v>589</v>
      </c>
      <c r="B1117">
        <v>30</v>
      </c>
      <c r="C1117">
        <v>3</v>
      </c>
      <c r="D1117">
        <v>110</v>
      </c>
    </row>
    <row r="1118" spans="1:4" x14ac:dyDescent="0.3">
      <c r="A1118">
        <v>504</v>
      </c>
      <c r="B1118">
        <v>22</v>
      </c>
      <c r="C1118">
        <v>3</v>
      </c>
      <c r="D1118">
        <v>102</v>
      </c>
    </row>
    <row r="1119" spans="1:4" x14ac:dyDescent="0.3">
      <c r="A1119">
        <v>686</v>
      </c>
      <c r="B1119">
        <v>11</v>
      </c>
      <c r="C1119">
        <v>5</v>
      </c>
      <c r="D1119">
        <v>91</v>
      </c>
    </row>
    <row r="1120" spans="1:4" x14ac:dyDescent="0.3">
      <c r="A1120">
        <v>387</v>
      </c>
      <c r="B1120">
        <v>2</v>
      </c>
      <c r="C1120">
        <v>2</v>
      </c>
      <c r="D1120">
        <v>56</v>
      </c>
    </row>
    <row r="1121" spans="1:4" x14ac:dyDescent="0.3">
      <c r="A1121">
        <v>970</v>
      </c>
      <c r="B1121">
        <v>44</v>
      </c>
      <c r="C1121">
        <v>4</v>
      </c>
      <c r="D1121">
        <v>47</v>
      </c>
    </row>
    <row r="1122" spans="1:4" x14ac:dyDescent="0.3">
      <c r="A1122">
        <v>870</v>
      </c>
      <c r="B1122">
        <v>12</v>
      </c>
      <c r="C1122">
        <v>4</v>
      </c>
      <c r="D1122">
        <v>112</v>
      </c>
    </row>
    <row r="1123" spans="1:4" x14ac:dyDescent="0.3">
      <c r="A1123">
        <v>833</v>
      </c>
      <c r="B1123">
        <v>30</v>
      </c>
      <c r="C1123">
        <v>5</v>
      </c>
      <c r="D1123">
        <v>79</v>
      </c>
    </row>
    <row r="1124" spans="1:4" x14ac:dyDescent="0.3">
      <c r="A1124">
        <v>888</v>
      </c>
      <c r="B1124">
        <v>36</v>
      </c>
      <c r="C1124">
        <v>4</v>
      </c>
      <c r="D1124">
        <v>113</v>
      </c>
    </row>
    <row r="1125" spans="1:4" x14ac:dyDescent="0.3">
      <c r="A1125">
        <v>603</v>
      </c>
      <c r="B1125">
        <v>18</v>
      </c>
      <c r="C1125">
        <v>3</v>
      </c>
      <c r="D1125">
        <v>85</v>
      </c>
    </row>
    <row r="1126" spans="1:4" x14ac:dyDescent="0.3">
      <c r="A1126">
        <v>750</v>
      </c>
      <c r="B1126">
        <v>26</v>
      </c>
      <c r="C1126">
        <v>5</v>
      </c>
      <c r="D1126">
        <v>62</v>
      </c>
    </row>
    <row r="1127" spans="1:4" x14ac:dyDescent="0.3">
      <c r="A1127">
        <v>776</v>
      </c>
      <c r="B1127">
        <v>7</v>
      </c>
      <c r="C1127">
        <v>1</v>
      </c>
      <c r="D1127">
        <v>87</v>
      </c>
    </row>
    <row r="1128" spans="1:4" x14ac:dyDescent="0.3">
      <c r="A1128">
        <v>691</v>
      </c>
      <c r="B1128">
        <v>1</v>
      </c>
      <c r="C1128">
        <v>2</v>
      </c>
      <c r="D1128">
        <v>53</v>
      </c>
    </row>
    <row r="1129" spans="1:4" x14ac:dyDescent="0.3">
      <c r="A1129">
        <v>494</v>
      </c>
      <c r="B1129">
        <v>26</v>
      </c>
      <c r="C1129">
        <v>2</v>
      </c>
      <c r="D1129">
        <v>83</v>
      </c>
    </row>
    <row r="1130" spans="1:4" x14ac:dyDescent="0.3">
      <c r="A1130">
        <v>490</v>
      </c>
      <c r="B1130">
        <v>23</v>
      </c>
      <c r="C1130">
        <v>2</v>
      </c>
      <c r="D1130">
        <v>63</v>
      </c>
    </row>
    <row r="1131" spans="1:4" x14ac:dyDescent="0.3">
      <c r="A1131">
        <v>721</v>
      </c>
      <c r="B1131">
        <v>26</v>
      </c>
      <c r="C1131">
        <v>3</v>
      </c>
      <c r="D1131">
        <v>29</v>
      </c>
    </row>
    <row r="1132" spans="1:4" x14ac:dyDescent="0.3">
      <c r="A1132">
        <v>73</v>
      </c>
      <c r="B1132">
        <v>45</v>
      </c>
      <c r="C1132">
        <v>1</v>
      </c>
      <c r="D1132">
        <v>88</v>
      </c>
    </row>
    <row r="1133" spans="1:4" x14ac:dyDescent="0.3">
      <c r="A1133">
        <v>509</v>
      </c>
      <c r="B1133">
        <v>6</v>
      </c>
      <c r="C1133">
        <v>5</v>
      </c>
      <c r="D1133">
        <v>40</v>
      </c>
    </row>
    <row r="1134" spans="1:4" x14ac:dyDescent="0.3">
      <c r="A1134">
        <v>390</v>
      </c>
      <c r="B1134">
        <v>6</v>
      </c>
      <c r="C1134">
        <v>5</v>
      </c>
      <c r="D1134">
        <v>16</v>
      </c>
    </row>
    <row r="1135" spans="1:4" x14ac:dyDescent="0.3">
      <c r="A1135">
        <v>619</v>
      </c>
      <c r="B1135">
        <v>44</v>
      </c>
      <c r="C1135">
        <v>2</v>
      </c>
      <c r="D1135">
        <v>67</v>
      </c>
    </row>
    <row r="1136" spans="1:4" x14ac:dyDescent="0.3">
      <c r="A1136">
        <v>857</v>
      </c>
      <c r="B1136">
        <v>8</v>
      </c>
      <c r="C1136">
        <v>1</v>
      </c>
      <c r="D1136">
        <v>114</v>
      </c>
    </row>
    <row r="1137" spans="1:4" x14ac:dyDescent="0.3">
      <c r="A1137">
        <v>295</v>
      </c>
      <c r="B1137">
        <v>24</v>
      </c>
      <c r="C1137">
        <v>1</v>
      </c>
      <c r="D1137">
        <v>19</v>
      </c>
    </row>
    <row r="1138" spans="1:4" x14ac:dyDescent="0.3">
      <c r="A1138">
        <v>369</v>
      </c>
      <c r="B1138">
        <v>22</v>
      </c>
      <c r="C1138">
        <v>1</v>
      </c>
      <c r="D1138">
        <v>19</v>
      </c>
    </row>
    <row r="1139" spans="1:4" x14ac:dyDescent="0.3">
      <c r="A1139">
        <v>956</v>
      </c>
      <c r="B1139">
        <v>19</v>
      </c>
      <c r="C1139">
        <v>4</v>
      </c>
      <c r="D1139">
        <v>48</v>
      </c>
    </row>
    <row r="1140" spans="1:4" x14ac:dyDescent="0.3">
      <c r="A1140">
        <v>796</v>
      </c>
      <c r="B1140">
        <v>37</v>
      </c>
      <c r="C1140">
        <v>4</v>
      </c>
      <c r="D1140">
        <v>37</v>
      </c>
    </row>
    <row r="1141" spans="1:4" x14ac:dyDescent="0.3">
      <c r="A1141">
        <v>865</v>
      </c>
      <c r="B1141">
        <v>18</v>
      </c>
      <c r="C1141">
        <v>2</v>
      </c>
      <c r="D1141">
        <v>39</v>
      </c>
    </row>
    <row r="1142" spans="1:4" x14ac:dyDescent="0.3">
      <c r="A1142">
        <v>694</v>
      </c>
      <c r="B1142">
        <v>31</v>
      </c>
      <c r="C1142">
        <v>1</v>
      </c>
      <c r="D1142">
        <v>46</v>
      </c>
    </row>
    <row r="1143" spans="1:4" x14ac:dyDescent="0.3">
      <c r="A1143">
        <v>549</v>
      </c>
      <c r="B1143">
        <v>37</v>
      </c>
      <c r="C1143">
        <v>1</v>
      </c>
      <c r="D1143">
        <v>76</v>
      </c>
    </row>
    <row r="1144" spans="1:4" x14ac:dyDescent="0.3">
      <c r="A1144">
        <v>649</v>
      </c>
      <c r="B1144">
        <v>30</v>
      </c>
      <c r="C1144">
        <v>5</v>
      </c>
      <c r="D1144">
        <v>52</v>
      </c>
    </row>
    <row r="1145" spans="1:4" x14ac:dyDescent="0.3">
      <c r="A1145">
        <v>850</v>
      </c>
      <c r="B1145">
        <v>42</v>
      </c>
      <c r="C1145">
        <v>5</v>
      </c>
      <c r="D1145">
        <v>88</v>
      </c>
    </row>
    <row r="1146" spans="1:4" x14ac:dyDescent="0.3">
      <c r="A1146">
        <v>568</v>
      </c>
      <c r="B1146">
        <v>33</v>
      </c>
      <c r="C1146">
        <v>2</v>
      </c>
      <c r="D1146">
        <v>94</v>
      </c>
    </row>
    <row r="1147" spans="1:4" x14ac:dyDescent="0.3">
      <c r="A1147">
        <v>187</v>
      </c>
      <c r="B1147">
        <v>10</v>
      </c>
      <c r="C1147">
        <v>1</v>
      </c>
      <c r="D1147">
        <v>61</v>
      </c>
    </row>
    <row r="1148" spans="1:4" x14ac:dyDescent="0.3">
      <c r="A1148">
        <v>853</v>
      </c>
      <c r="B1148">
        <v>37</v>
      </c>
      <c r="C1148">
        <v>2</v>
      </c>
      <c r="D1148">
        <v>110</v>
      </c>
    </row>
    <row r="1149" spans="1:4" x14ac:dyDescent="0.3">
      <c r="A1149">
        <v>770</v>
      </c>
      <c r="B1149">
        <v>12</v>
      </c>
      <c r="C1149">
        <v>5</v>
      </c>
      <c r="D1149">
        <v>65</v>
      </c>
    </row>
    <row r="1150" spans="1:4" x14ac:dyDescent="0.3">
      <c r="A1150">
        <v>445</v>
      </c>
      <c r="B1150">
        <v>30</v>
      </c>
      <c r="C1150">
        <v>5</v>
      </c>
      <c r="D1150">
        <v>85</v>
      </c>
    </row>
    <row r="1151" spans="1:4" x14ac:dyDescent="0.3">
      <c r="A1151">
        <v>570</v>
      </c>
      <c r="B1151">
        <v>27</v>
      </c>
      <c r="C1151">
        <v>4</v>
      </c>
      <c r="D1151">
        <v>77</v>
      </c>
    </row>
    <row r="1152" spans="1:4" x14ac:dyDescent="0.3">
      <c r="A1152">
        <v>363</v>
      </c>
      <c r="B1152">
        <v>39</v>
      </c>
      <c r="C1152">
        <v>2</v>
      </c>
      <c r="D1152">
        <v>18</v>
      </c>
    </row>
    <row r="1153" spans="1:4" x14ac:dyDescent="0.3">
      <c r="A1153">
        <v>123</v>
      </c>
      <c r="B1153">
        <v>9</v>
      </c>
      <c r="C1153">
        <v>2</v>
      </c>
      <c r="D1153">
        <v>112</v>
      </c>
    </row>
    <row r="1154" spans="1:4" x14ac:dyDescent="0.3">
      <c r="A1154">
        <v>188</v>
      </c>
      <c r="B1154">
        <v>21</v>
      </c>
      <c r="C1154">
        <v>1</v>
      </c>
      <c r="D1154">
        <v>115</v>
      </c>
    </row>
    <row r="1155" spans="1:4" x14ac:dyDescent="0.3">
      <c r="A1155">
        <v>742</v>
      </c>
      <c r="B1155">
        <v>12</v>
      </c>
      <c r="C1155">
        <v>1</v>
      </c>
      <c r="D1155">
        <v>101</v>
      </c>
    </row>
    <row r="1156" spans="1:4" x14ac:dyDescent="0.3">
      <c r="A1156">
        <v>680</v>
      </c>
      <c r="B1156">
        <v>29</v>
      </c>
      <c r="C1156">
        <v>4</v>
      </c>
      <c r="D1156">
        <v>32</v>
      </c>
    </row>
    <row r="1157" spans="1:4" x14ac:dyDescent="0.3">
      <c r="A1157">
        <v>420</v>
      </c>
      <c r="B1157">
        <v>33</v>
      </c>
      <c r="C1157">
        <v>3</v>
      </c>
      <c r="D1157">
        <v>72</v>
      </c>
    </row>
    <row r="1158" spans="1:4" x14ac:dyDescent="0.3">
      <c r="A1158">
        <v>626</v>
      </c>
      <c r="B1158">
        <v>43</v>
      </c>
      <c r="C1158">
        <v>3</v>
      </c>
      <c r="D1158">
        <v>118</v>
      </c>
    </row>
    <row r="1159" spans="1:4" x14ac:dyDescent="0.3">
      <c r="A1159">
        <v>252</v>
      </c>
      <c r="B1159">
        <v>15</v>
      </c>
      <c r="C1159">
        <v>3</v>
      </c>
      <c r="D1159">
        <v>70</v>
      </c>
    </row>
    <row r="1160" spans="1:4" x14ac:dyDescent="0.3">
      <c r="A1160">
        <v>619</v>
      </c>
      <c r="B1160">
        <v>2</v>
      </c>
      <c r="C1160">
        <v>2</v>
      </c>
      <c r="D1160">
        <v>49</v>
      </c>
    </row>
    <row r="1161" spans="1:4" x14ac:dyDescent="0.3">
      <c r="A1161">
        <v>549</v>
      </c>
      <c r="B1161">
        <v>39</v>
      </c>
      <c r="C1161">
        <v>2</v>
      </c>
      <c r="D1161">
        <v>53</v>
      </c>
    </row>
    <row r="1162" spans="1:4" x14ac:dyDescent="0.3">
      <c r="A1162">
        <v>335</v>
      </c>
      <c r="B1162">
        <v>44</v>
      </c>
      <c r="C1162">
        <v>5</v>
      </c>
      <c r="D1162">
        <v>95</v>
      </c>
    </row>
    <row r="1163" spans="1:4" x14ac:dyDescent="0.3">
      <c r="A1163">
        <v>92</v>
      </c>
      <c r="B1163">
        <v>18</v>
      </c>
      <c r="C1163">
        <v>2</v>
      </c>
      <c r="D1163">
        <v>33</v>
      </c>
    </row>
    <row r="1164" spans="1:4" x14ac:dyDescent="0.3">
      <c r="A1164">
        <v>530</v>
      </c>
      <c r="B1164">
        <v>3</v>
      </c>
      <c r="C1164">
        <v>2</v>
      </c>
      <c r="D1164">
        <v>60</v>
      </c>
    </row>
    <row r="1165" spans="1:4" x14ac:dyDescent="0.3">
      <c r="A1165">
        <v>866</v>
      </c>
      <c r="B1165">
        <v>7</v>
      </c>
      <c r="C1165">
        <v>2</v>
      </c>
      <c r="D1165">
        <v>67</v>
      </c>
    </row>
    <row r="1166" spans="1:4" x14ac:dyDescent="0.3">
      <c r="A1166">
        <v>63</v>
      </c>
      <c r="B1166">
        <v>43</v>
      </c>
      <c r="C1166">
        <v>4</v>
      </c>
      <c r="D1166">
        <v>99</v>
      </c>
    </row>
    <row r="1167" spans="1:4" x14ac:dyDescent="0.3">
      <c r="A1167">
        <v>662</v>
      </c>
      <c r="B1167">
        <v>18</v>
      </c>
      <c r="C1167">
        <v>2</v>
      </c>
      <c r="D1167">
        <v>103</v>
      </c>
    </row>
    <row r="1168" spans="1:4" x14ac:dyDescent="0.3">
      <c r="A1168">
        <v>512</v>
      </c>
      <c r="B1168">
        <v>44</v>
      </c>
      <c r="C1168">
        <v>1</v>
      </c>
      <c r="D1168">
        <v>42</v>
      </c>
    </row>
    <row r="1169" spans="1:4" x14ac:dyDescent="0.3">
      <c r="A1169">
        <v>139</v>
      </c>
      <c r="B1169">
        <v>38</v>
      </c>
      <c r="C1169">
        <v>1</v>
      </c>
      <c r="D1169">
        <v>25</v>
      </c>
    </row>
    <row r="1170" spans="1:4" x14ac:dyDescent="0.3">
      <c r="A1170">
        <v>698</v>
      </c>
      <c r="B1170">
        <v>37</v>
      </c>
      <c r="C1170">
        <v>5</v>
      </c>
      <c r="D1170">
        <v>31</v>
      </c>
    </row>
    <row r="1171" spans="1:4" x14ac:dyDescent="0.3">
      <c r="A1171">
        <v>185</v>
      </c>
      <c r="B1171">
        <v>33</v>
      </c>
      <c r="C1171">
        <v>4</v>
      </c>
      <c r="D1171">
        <v>66</v>
      </c>
    </row>
    <row r="1172" spans="1:4" x14ac:dyDescent="0.3">
      <c r="A1172">
        <v>205</v>
      </c>
      <c r="B1172">
        <v>44</v>
      </c>
      <c r="C1172">
        <v>1</v>
      </c>
      <c r="D1172">
        <v>71</v>
      </c>
    </row>
    <row r="1173" spans="1:4" x14ac:dyDescent="0.3">
      <c r="A1173">
        <v>772</v>
      </c>
      <c r="B1173">
        <v>31</v>
      </c>
      <c r="C1173">
        <v>4</v>
      </c>
      <c r="D1173">
        <v>116</v>
      </c>
    </row>
    <row r="1174" spans="1:4" x14ac:dyDescent="0.3">
      <c r="A1174">
        <v>214</v>
      </c>
      <c r="B1174">
        <v>11</v>
      </c>
      <c r="C1174">
        <v>4</v>
      </c>
      <c r="D1174">
        <v>91</v>
      </c>
    </row>
    <row r="1175" spans="1:4" x14ac:dyDescent="0.3">
      <c r="A1175">
        <v>256</v>
      </c>
      <c r="B1175">
        <v>4</v>
      </c>
      <c r="C1175">
        <v>5</v>
      </c>
      <c r="D1175">
        <v>80</v>
      </c>
    </row>
    <row r="1176" spans="1:4" x14ac:dyDescent="0.3">
      <c r="A1176">
        <v>135</v>
      </c>
      <c r="B1176">
        <v>18</v>
      </c>
      <c r="C1176">
        <v>4</v>
      </c>
      <c r="D1176">
        <v>99</v>
      </c>
    </row>
    <row r="1177" spans="1:4" x14ac:dyDescent="0.3">
      <c r="A1177">
        <v>573</v>
      </c>
      <c r="B1177">
        <v>4</v>
      </c>
      <c r="C1177">
        <v>2</v>
      </c>
      <c r="D1177">
        <v>81</v>
      </c>
    </row>
    <row r="1178" spans="1:4" x14ac:dyDescent="0.3">
      <c r="A1178">
        <v>875</v>
      </c>
      <c r="B1178">
        <v>49</v>
      </c>
      <c r="C1178">
        <v>4</v>
      </c>
      <c r="D1178">
        <v>79</v>
      </c>
    </row>
    <row r="1179" spans="1:4" x14ac:dyDescent="0.3">
      <c r="A1179">
        <v>822</v>
      </c>
      <c r="B1179">
        <v>34</v>
      </c>
      <c r="C1179">
        <v>5</v>
      </c>
      <c r="D1179">
        <v>39</v>
      </c>
    </row>
    <row r="1180" spans="1:4" x14ac:dyDescent="0.3">
      <c r="A1180">
        <v>88</v>
      </c>
      <c r="B1180">
        <v>29</v>
      </c>
      <c r="C1180">
        <v>5</v>
      </c>
      <c r="D1180">
        <v>112</v>
      </c>
    </row>
    <row r="1181" spans="1:4" x14ac:dyDescent="0.3">
      <c r="A1181">
        <v>836</v>
      </c>
      <c r="B1181">
        <v>24</v>
      </c>
      <c r="C1181">
        <v>5</v>
      </c>
      <c r="D1181">
        <v>32</v>
      </c>
    </row>
    <row r="1182" spans="1:4" x14ac:dyDescent="0.3">
      <c r="A1182">
        <v>988</v>
      </c>
      <c r="B1182">
        <v>22</v>
      </c>
      <c r="C1182">
        <v>1</v>
      </c>
      <c r="D1182">
        <v>41</v>
      </c>
    </row>
    <row r="1183" spans="1:4" x14ac:dyDescent="0.3">
      <c r="A1183">
        <v>207</v>
      </c>
      <c r="B1183">
        <v>2</v>
      </c>
      <c r="C1183">
        <v>2</v>
      </c>
      <c r="D1183">
        <v>95</v>
      </c>
    </row>
    <row r="1184" spans="1:4" x14ac:dyDescent="0.3">
      <c r="A1184">
        <v>129</v>
      </c>
      <c r="B1184">
        <v>44</v>
      </c>
      <c r="C1184">
        <v>1</v>
      </c>
      <c r="D1184">
        <v>115</v>
      </c>
    </row>
    <row r="1185" spans="1:4" x14ac:dyDescent="0.3">
      <c r="A1185">
        <v>823</v>
      </c>
      <c r="B1185">
        <v>6</v>
      </c>
      <c r="C1185">
        <v>3</v>
      </c>
      <c r="D1185">
        <v>116</v>
      </c>
    </row>
    <row r="1186" spans="1:4" x14ac:dyDescent="0.3">
      <c r="A1186">
        <v>3</v>
      </c>
      <c r="B1186">
        <v>42</v>
      </c>
      <c r="C1186">
        <v>2</v>
      </c>
      <c r="D1186">
        <v>66</v>
      </c>
    </row>
    <row r="1187" spans="1:4" x14ac:dyDescent="0.3">
      <c r="A1187">
        <v>974</v>
      </c>
      <c r="B1187">
        <v>25</v>
      </c>
      <c r="C1187">
        <v>4</v>
      </c>
      <c r="D1187">
        <v>118</v>
      </c>
    </row>
    <row r="1188" spans="1:4" x14ac:dyDescent="0.3">
      <c r="A1188">
        <v>934</v>
      </c>
      <c r="B1188">
        <v>21</v>
      </c>
      <c r="C1188">
        <v>5</v>
      </c>
      <c r="D1188">
        <v>18</v>
      </c>
    </row>
    <row r="1189" spans="1:4" x14ac:dyDescent="0.3">
      <c r="A1189">
        <v>754</v>
      </c>
      <c r="B1189">
        <v>16</v>
      </c>
      <c r="C1189">
        <v>3</v>
      </c>
      <c r="D1189">
        <v>40</v>
      </c>
    </row>
    <row r="1190" spans="1:4" x14ac:dyDescent="0.3">
      <c r="A1190">
        <v>121</v>
      </c>
      <c r="B1190">
        <v>31</v>
      </c>
      <c r="C1190">
        <v>2</v>
      </c>
      <c r="D1190">
        <v>80</v>
      </c>
    </row>
    <row r="1191" spans="1:4" x14ac:dyDescent="0.3">
      <c r="A1191">
        <v>385</v>
      </c>
      <c r="B1191">
        <v>14</v>
      </c>
      <c r="C1191">
        <v>1</v>
      </c>
      <c r="D1191">
        <v>18</v>
      </c>
    </row>
    <row r="1192" spans="1:4" x14ac:dyDescent="0.3">
      <c r="A1192">
        <v>614</v>
      </c>
      <c r="B1192">
        <v>39</v>
      </c>
      <c r="C1192">
        <v>5</v>
      </c>
      <c r="D1192">
        <v>22</v>
      </c>
    </row>
    <row r="1193" spans="1:4" x14ac:dyDescent="0.3">
      <c r="A1193">
        <v>38</v>
      </c>
      <c r="B1193">
        <v>28</v>
      </c>
      <c r="C1193">
        <v>1</v>
      </c>
      <c r="D1193">
        <v>67</v>
      </c>
    </row>
    <row r="1194" spans="1:4" x14ac:dyDescent="0.3">
      <c r="A1194">
        <v>341</v>
      </c>
      <c r="B1194">
        <v>32</v>
      </c>
      <c r="C1194">
        <v>2</v>
      </c>
      <c r="D1194">
        <v>12</v>
      </c>
    </row>
    <row r="1195" spans="1:4" x14ac:dyDescent="0.3">
      <c r="A1195">
        <v>925</v>
      </c>
      <c r="B1195">
        <v>28</v>
      </c>
      <c r="C1195">
        <v>2</v>
      </c>
      <c r="D1195">
        <v>44</v>
      </c>
    </row>
    <row r="1196" spans="1:4" x14ac:dyDescent="0.3">
      <c r="A1196">
        <v>645</v>
      </c>
      <c r="B1196">
        <v>49</v>
      </c>
      <c r="C1196">
        <v>3</v>
      </c>
      <c r="D1196">
        <v>106</v>
      </c>
    </row>
    <row r="1197" spans="1:4" x14ac:dyDescent="0.3">
      <c r="A1197">
        <v>714</v>
      </c>
      <c r="B1197">
        <v>9</v>
      </c>
      <c r="C1197">
        <v>4</v>
      </c>
      <c r="D1197">
        <v>30</v>
      </c>
    </row>
    <row r="1198" spans="1:4" x14ac:dyDescent="0.3">
      <c r="A1198">
        <v>860</v>
      </c>
      <c r="B1198">
        <v>45</v>
      </c>
      <c r="C1198">
        <v>1</v>
      </c>
      <c r="D1198">
        <v>73</v>
      </c>
    </row>
    <row r="1199" spans="1:4" x14ac:dyDescent="0.3">
      <c r="A1199">
        <v>21</v>
      </c>
      <c r="B1199">
        <v>22</v>
      </c>
      <c r="C1199">
        <v>3</v>
      </c>
      <c r="D1199">
        <v>104</v>
      </c>
    </row>
    <row r="1200" spans="1:4" x14ac:dyDescent="0.3">
      <c r="A1200">
        <v>242</v>
      </c>
      <c r="B1200">
        <v>32</v>
      </c>
      <c r="C1200">
        <v>5</v>
      </c>
      <c r="D1200">
        <v>61</v>
      </c>
    </row>
    <row r="1201" spans="1:4" x14ac:dyDescent="0.3">
      <c r="A1201">
        <v>455</v>
      </c>
      <c r="B1201">
        <v>5</v>
      </c>
      <c r="C1201">
        <v>4</v>
      </c>
      <c r="D1201">
        <v>43</v>
      </c>
    </row>
    <row r="1202" spans="1:4" x14ac:dyDescent="0.3">
      <c r="A1202">
        <v>963</v>
      </c>
      <c r="B1202">
        <v>23</v>
      </c>
      <c r="C1202">
        <v>3</v>
      </c>
      <c r="D1202">
        <v>105</v>
      </c>
    </row>
    <row r="1203" spans="1:4" x14ac:dyDescent="0.3">
      <c r="A1203">
        <v>621</v>
      </c>
      <c r="B1203">
        <v>5</v>
      </c>
      <c r="C1203">
        <v>1</v>
      </c>
      <c r="D1203">
        <v>44</v>
      </c>
    </row>
    <row r="1204" spans="1:4" x14ac:dyDescent="0.3">
      <c r="A1204">
        <v>303</v>
      </c>
      <c r="B1204">
        <v>42</v>
      </c>
      <c r="C1204">
        <v>2</v>
      </c>
      <c r="D1204">
        <v>24</v>
      </c>
    </row>
    <row r="1205" spans="1:4" x14ac:dyDescent="0.3">
      <c r="A1205">
        <v>596</v>
      </c>
      <c r="B1205">
        <v>32</v>
      </c>
      <c r="C1205">
        <v>5</v>
      </c>
      <c r="D1205">
        <v>105</v>
      </c>
    </row>
    <row r="1206" spans="1:4" x14ac:dyDescent="0.3">
      <c r="A1206">
        <v>595</v>
      </c>
      <c r="B1206">
        <v>10</v>
      </c>
      <c r="C1206">
        <v>1</v>
      </c>
      <c r="D1206">
        <v>15</v>
      </c>
    </row>
    <row r="1207" spans="1:4" x14ac:dyDescent="0.3">
      <c r="A1207">
        <v>803</v>
      </c>
      <c r="B1207">
        <v>39</v>
      </c>
      <c r="C1207">
        <v>4</v>
      </c>
      <c r="D1207">
        <v>118</v>
      </c>
    </row>
    <row r="1208" spans="1:4" x14ac:dyDescent="0.3">
      <c r="A1208">
        <v>964</v>
      </c>
      <c r="B1208">
        <v>15</v>
      </c>
      <c r="C1208">
        <v>4</v>
      </c>
      <c r="D1208">
        <v>94</v>
      </c>
    </row>
    <row r="1209" spans="1:4" x14ac:dyDescent="0.3">
      <c r="A1209">
        <v>69</v>
      </c>
      <c r="B1209">
        <v>7</v>
      </c>
      <c r="C1209">
        <v>2</v>
      </c>
      <c r="D1209">
        <v>106</v>
      </c>
    </row>
    <row r="1210" spans="1:4" x14ac:dyDescent="0.3">
      <c r="A1210">
        <v>129</v>
      </c>
      <c r="B1210">
        <v>29</v>
      </c>
      <c r="C1210">
        <v>2</v>
      </c>
      <c r="D1210">
        <v>41</v>
      </c>
    </row>
    <row r="1211" spans="1:4" x14ac:dyDescent="0.3">
      <c r="A1211">
        <v>196</v>
      </c>
      <c r="B1211">
        <v>47</v>
      </c>
      <c r="C1211">
        <v>5</v>
      </c>
      <c r="D1211">
        <v>61</v>
      </c>
    </row>
    <row r="1212" spans="1:4" x14ac:dyDescent="0.3">
      <c r="A1212">
        <v>140</v>
      </c>
      <c r="B1212">
        <v>3</v>
      </c>
      <c r="C1212">
        <v>5</v>
      </c>
      <c r="D1212">
        <v>92</v>
      </c>
    </row>
    <row r="1213" spans="1:4" x14ac:dyDescent="0.3">
      <c r="A1213">
        <v>444</v>
      </c>
      <c r="B1213">
        <v>19</v>
      </c>
      <c r="C1213">
        <v>2</v>
      </c>
      <c r="D1213">
        <v>106</v>
      </c>
    </row>
    <row r="1214" spans="1:4" x14ac:dyDescent="0.3">
      <c r="A1214">
        <v>283</v>
      </c>
      <c r="B1214">
        <v>10</v>
      </c>
      <c r="C1214">
        <v>2</v>
      </c>
      <c r="D1214">
        <v>37</v>
      </c>
    </row>
    <row r="1215" spans="1:4" x14ac:dyDescent="0.3">
      <c r="A1215">
        <v>312</v>
      </c>
      <c r="B1215">
        <v>28</v>
      </c>
      <c r="C1215">
        <v>4</v>
      </c>
      <c r="D1215">
        <v>104</v>
      </c>
    </row>
    <row r="1216" spans="1:4" x14ac:dyDescent="0.3">
      <c r="A1216">
        <v>746</v>
      </c>
      <c r="B1216">
        <v>29</v>
      </c>
      <c r="C1216">
        <v>2</v>
      </c>
      <c r="D1216">
        <v>94</v>
      </c>
    </row>
    <row r="1217" spans="1:4" x14ac:dyDescent="0.3">
      <c r="A1217">
        <v>535</v>
      </c>
      <c r="B1217">
        <v>15</v>
      </c>
      <c r="C1217">
        <v>3</v>
      </c>
      <c r="D1217">
        <v>107</v>
      </c>
    </row>
    <row r="1218" spans="1:4" x14ac:dyDescent="0.3">
      <c r="A1218">
        <v>665</v>
      </c>
      <c r="B1218">
        <v>35</v>
      </c>
      <c r="C1218">
        <v>1</v>
      </c>
      <c r="D1218">
        <v>73</v>
      </c>
    </row>
    <row r="1219" spans="1:4" x14ac:dyDescent="0.3">
      <c r="A1219">
        <v>277</v>
      </c>
      <c r="B1219">
        <v>6</v>
      </c>
      <c r="C1219">
        <v>2</v>
      </c>
      <c r="D1219">
        <v>88</v>
      </c>
    </row>
    <row r="1220" spans="1:4" x14ac:dyDescent="0.3">
      <c r="A1220">
        <v>61</v>
      </c>
      <c r="B1220">
        <v>12</v>
      </c>
      <c r="C1220">
        <v>5</v>
      </c>
      <c r="D1220">
        <v>87</v>
      </c>
    </row>
    <row r="1221" spans="1:4" x14ac:dyDescent="0.3">
      <c r="A1221">
        <v>319</v>
      </c>
      <c r="B1221">
        <v>47</v>
      </c>
      <c r="C1221">
        <v>3</v>
      </c>
      <c r="D1221">
        <v>28</v>
      </c>
    </row>
    <row r="1222" spans="1:4" x14ac:dyDescent="0.3">
      <c r="A1222">
        <v>890</v>
      </c>
      <c r="B1222">
        <v>38</v>
      </c>
      <c r="C1222">
        <v>5</v>
      </c>
      <c r="D1222">
        <v>116</v>
      </c>
    </row>
    <row r="1223" spans="1:4" x14ac:dyDescent="0.3">
      <c r="A1223">
        <v>52</v>
      </c>
      <c r="B1223">
        <v>13</v>
      </c>
      <c r="C1223">
        <v>3</v>
      </c>
      <c r="D1223">
        <v>24</v>
      </c>
    </row>
    <row r="1224" spans="1:4" x14ac:dyDescent="0.3">
      <c r="A1224">
        <v>856</v>
      </c>
      <c r="B1224">
        <v>29</v>
      </c>
      <c r="C1224">
        <v>2</v>
      </c>
      <c r="D1224">
        <v>15</v>
      </c>
    </row>
    <row r="1225" spans="1:4" x14ac:dyDescent="0.3">
      <c r="A1225">
        <v>153</v>
      </c>
      <c r="B1225">
        <v>19</v>
      </c>
      <c r="C1225">
        <v>1</v>
      </c>
      <c r="D1225">
        <v>82</v>
      </c>
    </row>
    <row r="1226" spans="1:4" x14ac:dyDescent="0.3">
      <c r="A1226">
        <v>749</v>
      </c>
      <c r="B1226">
        <v>3</v>
      </c>
      <c r="C1226">
        <v>5</v>
      </c>
      <c r="D1226">
        <v>110</v>
      </c>
    </row>
    <row r="1227" spans="1:4" x14ac:dyDescent="0.3">
      <c r="A1227">
        <v>311</v>
      </c>
      <c r="B1227">
        <v>8</v>
      </c>
      <c r="C1227">
        <v>3</v>
      </c>
      <c r="D1227">
        <v>93</v>
      </c>
    </row>
    <row r="1228" spans="1:4" x14ac:dyDescent="0.3">
      <c r="A1228">
        <v>814</v>
      </c>
      <c r="B1228">
        <v>8</v>
      </c>
      <c r="C1228">
        <v>4</v>
      </c>
      <c r="D1228">
        <v>107</v>
      </c>
    </row>
    <row r="1229" spans="1:4" x14ac:dyDescent="0.3">
      <c r="A1229">
        <v>544</v>
      </c>
      <c r="B1229">
        <v>20</v>
      </c>
      <c r="C1229">
        <v>2</v>
      </c>
      <c r="D1229">
        <v>47</v>
      </c>
    </row>
    <row r="1230" spans="1:4" x14ac:dyDescent="0.3">
      <c r="A1230">
        <v>567</v>
      </c>
      <c r="B1230">
        <v>47</v>
      </c>
      <c r="C1230">
        <v>1</v>
      </c>
      <c r="D1230">
        <v>35</v>
      </c>
    </row>
    <row r="1231" spans="1:4" x14ac:dyDescent="0.3">
      <c r="A1231">
        <v>864</v>
      </c>
      <c r="B1231">
        <v>4</v>
      </c>
      <c r="C1231">
        <v>2</v>
      </c>
      <c r="D1231">
        <v>91</v>
      </c>
    </row>
    <row r="1232" spans="1:4" x14ac:dyDescent="0.3">
      <c r="A1232">
        <v>389</v>
      </c>
      <c r="B1232">
        <v>21</v>
      </c>
      <c r="C1232">
        <v>4</v>
      </c>
      <c r="D1232">
        <v>101</v>
      </c>
    </row>
    <row r="1233" spans="1:4" x14ac:dyDescent="0.3">
      <c r="A1233">
        <v>548</v>
      </c>
      <c r="B1233">
        <v>3</v>
      </c>
      <c r="C1233">
        <v>1</v>
      </c>
      <c r="D1233">
        <v>60</v>
      </c>
    </row>
    <row r="1234" spans="1:4" x14ac:dyDescent="0.3">
      <c r="A1234">
        <v>622</v>
      </c>
      <c r="B1234">
        <v>45</v>
      </c>
      <c r="C1234">
        <v>4</v>
      </c>
      <c r="D1234">
        <v>82</v>
      </c>
    </row>
    <row r="1235" spans="1:4" x14ac:dyDescent="0.3">
      <c r="A1235">
        <v>177</v>
      </c>
      <c r="B1235">
        <v>8</v>
      </c>
      <c r="C1235">
        <v>2</v>
      </c>
      <c r="D1235">
        <v>105</v>
      </c>
    </row>
    <row r="1236" spans="1:4" x14ac:dyDescent="0.3">
      <c r="A1236">
        <v>362</v>
      </c>
      <c r="B1236">
        <v>23</v>
      </c>
      <c r="C1236">
        <v>3</v>
      </c>
      <c r="D1236">
        <v>62</v>
      </c>
    </row>
    <row r="1237" spans="1:4" x14ac:dyDescent="0.3">
      <c r="A1237">
        <v>314</v>
      </c>
      <c r="B1237">
        <v>16</v>
      </c>
      <c r="C1237">
        <v>2</v>
      </c>
      <c r="D1237">
        <v>65</v>
      </c>
    </row>
    <row r="1238" spans="1:4" x14ac:dyDescent="0.3">
      <c r="A1238">
        <v>807</v>
      </c>
      <c r="B1238">
        <v>13</v>
      </c>
      <c r="C1238">
        <v>2</v>
      </c>
      <c r="D1238">
        <v>68</v>
      </c>
    </row>
    <row r="1239" spans="1:4" x14ac:dyDescent="0.3">
      <c r="A1239">
        <v>848</v>
      </c>
      <c r="B1239">
        <v>3</v>
      </c>
      <c r="C1239">
        <v>2</v>
      </c>
      <c r="D1239">
        <v>79</v>
      </c>
    </row>
    <row r="1240" spans="1:4" x14ac:dyDescent="0.3">
      <c r="A1240">
        <v>97</v>
      </c>
      <c r="B1240">
        <v>48</v>
      </c>
      <c r="C1240">
        <v>5</v>
      </c>
      <c r="D1240">
        <v>87</v>
      </c>
    </row>
    <row r="1241" spans="1:4" x14ac:dyDescent="0.3">
      <c r="A1241">
        <v>881</v>
      </c>
      <c r="B1241">
        <v>9</v>
      </c>
      <c r="C1241">
        <v>4</v>
      </c>
      <c r="D1241">
        <v>101</v>
      </c>
    </row>
    <row r="1242" spans="1:4" x14ac:dyDescent="0.3">
      <c r="A1242">
        <v>213</v>
      </c>
      <c r="B1242">
        <v>14</v>
      </c>
      <c r="C1242">
        <v>4</v>
      </c>
      <c r="D1242">
        <v>67</v>
      </c>
    </row>
    <row r="1243" spans="1:4" x14ac:dyDescent="0.3">
      <c r="A1243">
        <v>829</v>
      </c>
      <c r="B1243">
        <v>13</v>
      </c>
      <c r="C1243">
        <v>4</v>
      </c>
      <c r="D1243">
        <v>97</v>
      </c>
    </row>
    <row r="1244" spans="1:4" x14ac:dyDescent="0.3">
      <c r="A1244">
        <v>137</v>
      </c>
      <c r="B1244">
        <v>7</v>
      </c>
      <c r="C1244">
        <v>5</v>
      </c>
      <c r="D1244">
        <v>22</v>
      </c>
    </row>
    <row r="1245" spans="1:4" x14ac:dyDescent="0.3">
      <c r="A1245">
        <v>6</v>
      </c>
      <c r="B1245">
        <v>15</v>
      </c>
      <c r="C1245">
        <v>3</v>
      </c>
      <c r="D1245">
        <v>52</v>
      </c>
    </row>
    <row r="1246" spans="1:4" x14ac:dyDescent="0.3">
      <c r="A1246">
        <v>109</v>
      </c>
      <c r="B1246">
        <v>7</v>
      </c>
      <c r="C1246">
        <v>2</v>
      </c>
      <c r="D1246">
        <v>85</v>
      </c>
    </row>
    <row r="1247" spans="1:4" x14ac:dyDescent="0.3">
      <c r="A1247">
        <v>547</v>
      </c>
      <c r="B1247">
        <v>38</v>
      </c>
      <c r="C1247">
        <v>3</v>
      </c>
      <c r="D1247">
        <v>60</v>
      </c>
    </row>
    <row r="1248" spans="1:4" x14ac:dyDescent="0.3">
      <c r="A1248">
        <v>39</v>
      </c>
      <c r="B1248">
        <v>34</v>
      </c>
      <c r="C1248">
        <v>5</v>
      </c>
      <c r="D1248">
        <v>28</v>
      </c>
    </row>
    <row r="1249" spans="1:4" x14ac:dyDescent="0.3">
      <c r="A1249">
        <v>662</v>
      </c>
      <c r="B1249">
        <v>41</v>
      </c>
      <c r="C1249">
        <v>4</v>
      </c>
      <c r="D1249">
        <v>30</v>
      </c>
    </row>
    <row r="1250" spans="1:4" x14ac:dyDescent="0.3">
      <c r="A1250">
        <v>425</v>
      </c>
      <c r="B1250">
        <v>22</v>
      </c>
      <c r="C1250">
        <v>2</v>
      </c>
      <c r="D1250">
        <v>100</v>
      </c>
    </row>
    <row r="1251" spans="1:4" x14ac:dyDescent="0.3">
      <c r="A1251">
        <v>630</v>
      </c>
      <c r="B1251">
        <v>24</v>
      </c>
      <c r="C1251">
        <v>1</v>
      </c>
      <c r="D1251">
        <v>92</v>
      </c>
    </row>
    <row r="1252" spans="1:4" x14ac:dyDescent="0.3">
      <c r="A1252">
        <v>261</v>
      </c>
      <c r="B1252">
        <v>49</v>
      </c>
      <c r="C1252">
        <v>1</v>
      </c>
      <c r="D1252">
        <v>33</v>
      </c>
    </row>
    <row r="1253" spans="1:4" x14ac:dyDescent="0.3">
      <c r="A1253">
        <v>426</v>
      </c>
      <c r="B1253">
        <v>37</v>
      </c>
      <c r="C1253">
        <v>3</v>
      </c>
      <c r="D1253">
        <v>35</v>
      </c>
    </row>
    <row r="1254" spans="1:4" x14ac:dyDescent="0.3">
      <c r="A1254">
        <v>87</v>
      </c>
      <c r="B1254">
        <v>44</v>
      </c>
      <c r="C1254">
        <v>4</v>
      </c>
      <c r="D1254">
        <v>54</v>
      </c>
    </row>
    <row r="1255" spans="1:4" x14ac:dyDescent="0.3">
      <c r="A1255">
        <v>465</v>
      </c>
      <c r="B1255">
        <v>1</v>
      </c>
      <c r="C1255">
        <v>1</v>
      </c>
      <c r="D1255">
        <v>37</v>
      </c>
    </row>
    <row r="1256" spans="1:4" x14ac:dyDescent="0.3">
      <c r="A1256">
        <v>76</v>
      </c>
      <c r="B1256">
        <v>10</v>
      </c>
      <c r="C1256">
        <v>3</v>
      </c>
      <c r="D1256">
        <v>119</v>
      </c>
    </row>
    <row r="1257" spans="1:4" x14ac:dyDescent="0.3">
      <c r="A1257">
        <v>471</v>
      </c>
      <c r="B1257">
        <v>43</v>
      </c>
      <c r="C1257">
        <v>5</v>
      </c>
      <c r="D1257">
        <v>91</v>
      </c>
    </row>
    <row r="1258" spans="1:4" x14ac:dyDescent="0.3">
      <c r="A1258">
        <v>976</v>
      </c>
      <c r="B1258">
        <v>16</v>
      </c>
      <c r="C1258">
        <v>3</v>
      </c>
      <c r="D1258">
        <v>117</v>
      </c>
    </row>
    <row r="1259" spans="1:4" x14ac:dyDescent="0.3">
      <c r="A1259">
        <v>963</v>
      </c>
      <c r="B1259">
        <v>46</v>
      </c>
      <c r="C1259">
        <v>3</v>
      </c>
      <c r="D1259">
        <v>109</v>
      </c>
    </row>
    <row r="1260" spans="1:4" x14ac:dyDescent="0.3">
      <c r="A1260">
        <v>414</v>
      </c>
      <c r="B1260">
        <v>8</v>
      </c>
      <c r="C1260">
        <v>3</v>
      </c>
      <c r="D1260">
        <v>115</v>
      </c>
    </row>
    <row r="1261" spans="1:4" x14ac:dyDescent="0.3">
      <c r="A1261">
        <v>825</v>
      </c>
      <c r="B1261">
        <v>49</v>
      </c>
      <c r="C1261">
        <v>2</v>
      </c>
      <c r="D1261">
        <v>38</v>
      </c>
    </row>
    <row r="1262" spans="1:4" x14ac:dyDescent="0.3">
      <c r="A1262">
        <v>895</v>
      </c>
      <c r="B1262">
        <v>25</v>
      </c>
      <c r="C1262">
        <v>3</v>
      </c>
      <c r="D1262">
        <v>26</v>
      </c>
    </row>
    <row r="1263" spans="1:4" x14ac:dyDescent="0.3">
      <c r="A1263">
        <v>726</v>
      </c>
      <c r="B1263">
        <v>50</v>
      </c>
      <c r="C1263">
        <v>3</v>
      </c>
      <c r="D1263">
        <v>77</v>
      </c>
    </row>
    <row r="1264" spans="1:4" x14ac:dyDescent="0.3">
      <c r="A1264">
        <v>457</v>
      </c>
      <c r="B1264">
        <v>12</v>
      </c>
      <c r="C1264">
        <v>2</v>
      </c>
      <c r="D1264">
        <v>53</v>
      </c>
    </row>
    <row r="1265" spans="1:4" x14ac:dyDescent="0.3">
      <c r="A1265">
        <v>285</v>
      </c>
      <c r="B1265">
        <v>25</v>
      </c>
      <c r="C1265">
        <v>2</v>
      </c>
      <c r="D1265">
        <v>118</v>
      </c>
    </row>
    <row r="1266" spans="1:4" x14ac:dyDescent="0.3">
      <c r="A1266">
        <v>239</v>
      </c>
      <c r="B1266">
        <v>17</v>
      </c>
      <c r="C1266">
        <v>5</v>
      </c>
      <c r="D1266">
        <v>70</v>
      </c>
    </row>
    <row r="1267" spans="1:4" x14ac:dyDescent="0.3">
      <c r="A1267">
        <v>677</v>
      </c>
      <c r="B1267">
        <v>26</v>
      </c>
      <c r="C1267">
        <v>4</v>
      </c>
      <c r="D1267">
        <v>102</v>
      </c>
    </row>
    <row r="1268" spans="1:4" x14ac:dyDescent="0.3">
      <c r="A1268">
        <v>599</v>
      </c>
      <c r="B1268">
        <v>46</v>
      </c>
      <c r="C1268">
        <v>1</v>
      </c>
      <c r="D1268">
        <v>77</v>
      </c>
    </row>
    <row r="1269" spans="1:4" x14ac:dyDescent="0.3">
      <c r="A1269">
        <v>653</v>
      </c>
      <c r="B1269">
        <v>48</v>
      </c>
      <c r="C1269">
        <v>1</v>
      </c>
      <c r="D1269">
        <v>83</v>
      </c>
    </row>
    <row r="1270" spans="1:4" x14ac:dyDescent="0.3">
      <c r="A1270">
        <v>672</v>
      </c>
      <c r="B1270">
        <v>14</v>
      </c>
      <c r="C1270">
        <v>3</v>
      </c>
      <c r="D1270">
        <v>34</v>
      </c>
    </row>
    <row r="1271" spans="1:4" x14ac:dyDescent="0.3">
      <c r="A1271">
        <v>558</v>
      </c>
      <c r="B1271">
        <v>41</v>
      </c>
      <c r="C1271">
        <v>5</v>
      </c>
      <c r="D1271">
        <v>104</v>
      </c>
    </row>
    <row r="1272" spans="1:4" x14ac:dyDescent="0.3">
      <c r="A1272">
        <v>372</v>
      </c>
      <c r="B1272">
        <v>36</v>
      </c>
      <c r="C1272">
        <v>3</v>
      </c>
      <c r="D1272">
        <v>76</v>
      </c>
    </row>
    <row r="1273" spans="1:4" x14ac:dyDescent="0.3">
      <c r="A1273">
        <v>495</v>
      </c>
      <c r="B1273">
        <v>23</v>
      </c>
      <c r="C1273">
        <v>1</v>
      </c>
      <c r="D1273">
        <v>11</v>
      </c>
    </row>
    <row r="1274" spans="1:4" x14ac:dyDescent="0.3">
      <c r="A1274">
        <v>624</v>
      </c>
      <c r="B1274">
        <v>43</v>
      </c>
      <c r="C1274">
        <v>2</v>
      </c>
      <c r="D1274">
        <v>98</v>
      </c>
    </row>
    <row r="1275" spans="1:4" x14ac:dyDescent="0.3">
      <c r="A1275">
        <v>919</v>
      </c>
      <c r="B1275">
        <v>6</v>
      </c>
      <c r="C1275">
        <v>4</v>
      </c>
      <c r="D1275">
        <v>58</v>
      </c>
    </row>
    <row r="1276" spans="1:4" x14ac:dyDescent="0.3">
      <c r="A1276">
        <v>45</v>
      </c>
      <c r="B1276">
        <v>47</v>
      </c>
      <c r="C1276">
        <v>5</v>
      </c>
      <c r="D1276">
        <v>79</v>
      </c>
    </row>
    <row r="1277" spans="1:4" x14ac:dyDescent="0.3">
      <c r="A1277">
        <v>401</v>
      </c>
      <c r="B1277">
        <v>5</v>
      </c>
      <c r="C1277">
        <v>2</v>
      </c>
      <c r="D1277">
        <v>35</v>
      </c>
    </row>
    <row r="1278" spans="1:4" x14ac:dyDescent="0.3">
      <c r="A1278">
        <v>247</v>
      </c>
      <c r="B1278">
        <v>43</v>
      </c>
      <c r="C1278">
        <v>4</v>
      </c>
      <c r="D1278">
        <v>81</v>
      </c>
    </row>
    <row r="1279" spans="1:4" x14ac:dyDescent="0.3">
      <c r="A1279">
        <v>616</v>
      </c>
      <c r="B1279">
        <v>25</v>
      </c>
      <c r="C1279">
        <v>5</v>
      </c>
      <c r="D1279">
        <v>108</v>
      </c>
    </row>
    <row r="1280" spans="1:4" x14ac:dyDescent="0.3">
      <c r="A1280">
        <v>597</v>
      </c>
      <c r="B1280">
        <v>18</v>
      </c>
      <c r="C1280">
        <v>5</v>
      </c>
      <c r="D1280">
        <v>36</v>
      </c>
    </row>
    <row r="1281" spans="1:4" x14ac:dyDescent="0.3">
      <c r="A1281">
        <v>450</v>
      </c>
      <c r="B1281">
        <v>13</v>
      </c>
      <c r="C1281">
        <v>1</v>
      </c>
      <c r="D1281">
        <v>98</v>
      </c>
    </row>
    <row r="1282" spans="1:4" x14ac:dyDescent="0.3">
      <c r="A1282">
        <v>485</v>
      </c>
      <c r="B1282">
        <v>43</v>
      </c>
      <c r="C1282">
        <v>2</v>
      </c>
      <c r="D1282">
        <v>27</v>
      </c>
    </row>
    <row r="1283" spans="1:4" x14ac:dyDescent="0.3">
      <c r="A1283">
        <v>646</v>
      </c>
      <c r="B1283">
        <v>14</v>
      </c>
      <c r="C1283">
        <v>5</v>
      </c>
      <c r="D1283">
        <v>63</v>
      </c>
    </row>
    <row r="1284" spans="1:4" x14ac:dyDescent="0.3">
      <c r="A1284">
        <v>620</v>
      </c>
      <c r="B1284">
        <v>28</v>
      </c>
      <c r="C1284">
        <v>5</v>
      </c>
      <c r="D1284">
        <v>10</v>
      </c>
    </row>
    <row r="1285" spans="1:4" x14ac:dyDescent="0.3">
      <c r="A1285">
        <v>18</v>
      </c>
      <c r="B1285">
        <v>18</v>
      </c>
      <c r="C1285">
        <v>4</v>
      </c>
      <c r="D1285">
        <v>70</v>
      </c>
    </row>
    <row r="1286" spans="1:4" x14ac:dyDescent="0.3">
      <c r="A1286">
        <v>606</v>
      </c>
      <c r="B1286">
        <v>28</v>
      </c>
      <c r="C1286">
        <v>1</v>
      </c>
      <c r="D1286">
        <v>112</v>
      </c>
    </row>
    <row r="1287" spans="1:4" x14ac:dyDescent="0.3">
      <c r="A1287">
        <v>662</v>
      </c>
      <c r="B1287">
        <v>27</v>
      </c>
      <c r="C1287">
        <v>3</v>
      </c>
      <c r="D1287">
        <v>12</v>
      </c>
    </row>
    <row r="1288" spans="1:4" x14ac:dyDescent="0.3">
      <c r="A1288">
        <v>758</v>
      </c>
      <c r="B1288">
        <v>32</v>
      </c>
      <c r="C1288">
        <v>1</v>
      </c>
      <c r="D1288">
        <v>77</v>
      </c>
    </row>
    <row r="1289" spans="1:4" x14ac:dyDescent="0.3">
      <c r="A1289">
        <v>289</v>
      </c>
      <c r="B1289">
        <v>47</v>
      </c>
      <c r="C1289">
        <v>3</v>
      </c>
      <c r="D1289">
        <v>50</v>
      </c>
    </row>
    <row r="1290" spans="1:4" x14ac:dyDescent="0.3">
      <c r="A1290">
        <v>414</v>
      </c>
      <c r="B1290">
        <v>9</v>
      </c>
      <c r="C1290">
        <v>2</v>
      </c>
      <c r="D1290">
        <v>46</v>
      </c>
    </row>
    <row r="1291" spans="1:4" x14ac:dyDescent="0.3">
      <c r="A1291">
        <v>721</v>
      </c>
      <c r="B1291">
        <v>40</v>
      </c>
      <c r="C1291">
        <v>2</v>
      </c>
      <c r="D1291">
        <v>60</v>
      </c>
    </row>
    <row r="1292" spans="1:4" x14ac:dyDescent="0.3">
      <c r="A1292">
        <v>638</v>
      </c>
      <c r="B1292">
        <v>32</v>
      </c>
      <c r="C1292">
        <v>5</v>
      </c>
      <c r="D1292">
        <v>24</v>
      </c>
    </row>
    <row r="1293" spans="1:4" x14ac:dyDescent="0.3">
      <c r="A1293">
        <v>235</v>
      </c>
      <c r="B1293">
        <v>20</v>
      </c>
      <c r="C1293">
        <v>2</v>
      </c>
      <c r="D1293">
        <v>17</v>
      </c>
    </row>
    <row r="1294" spans="1:4" x14ac:dyDescent="0.3">
      <c r="A1294">
        <v>416</v>
      </c>
      <c r="B1294">
        <v>28</v>
      </c>
      <c r="C1294">
        <v>5</v>
      </c>
      <c r="D1294">
        <v>47</v>
      </c>
    </row>
    <row r="1295" spans="1:4" x14ac:dyDescent="0.3">
      <c r="A1295">
        <v>938</v>
      </c>
      <c r="B1295">
        <v>33</v>
      </c>
      <c r="C1295">
        <v>1</v>
      </c>
      <c r="D1295">
        <v>92</v>
      </c>
    </row>
    <row r="1296" spans="1:4" x14ac:dyDescent="0.3">
      <c r="A1296">
        <v>499</v>
      </c>
      <c r="B1296">
        <v>4</v>
      </c>
      <c r="C1296">
        <v>2</v>
      </c>
      <c r="D1296">
        <v>65</v>
      </c>
    </row>
    <row r="1297" spans="1:4" x14ac:dyDescent="0.3">
      <c r="A1297">
        <v>974</v>
      </c>
      <c r="B1297">
        <v>46</v>
      </c>
      <c r="C1297">
        <v>1</v>
      </c>
      <c r="D1297">
        <v>56</v>
      </c>
    </row>
    <row r="1298" spans="1:4" x14ac:dyDescent="0.3">
      <c r="A1298">
        <v>634</v>
      </c>
      <c r="B1298">
        <v>34</v>
      </c>
      <c r="C1298">
        <v>1</v>
      </c>
      <c r="D1298">
        <v>99</v>
      </c>
    </row>
    <row r="1299" spans="1:4" x14ac:dyDescent="0.3">
      <c r="A1299">
        <v>650</v>
      </c>
      <c r="B1299">
        <v>48</v>
      </c>
      <c r="C1299">
        <v>2</v>
      </c>
      <c r="D1299">
        <v>112</v>
      </c>
    </row>
    <row r="1300" spans="1:4" x14ac:dyDescent="0.3">
      <c r="A1300">
        <v>115</v>
      </c>
      <c r="B1300">
        <v>3</v>
      </c>
      <c r="C1300">
        <v>1</v>
      </c>
      <c r="D1300">
        <v>19</v>
      </c>
    </row>
    <row r="1301" spans="1:4" x14ac:dyDescent="0.3">
      <c r="A1301">
        <v>932</v>
      </c>
      <c r="B1301">
        <v>26</v>
      </c>
      <c r="C1301">
        <v>2</v>
      </c>
      <c r="D1301">
        <v>111</v>
      </c>
    </row>
    <row r="1302" spans="1:4" x14ac:dyDescent="0.3">
      <c r="A1302">
        <v>674</v>
      </c>
      <c r="B1302">
        <v>8</v>
      </c>
      <c r="C1302">
        <v>2</v>
      </c>
      <c r="D1302">
        <v>87</v>
      </c>
    </row>
    <row r="1303" spans="1:4" x14ac:dyDescent="0.3">
      <c r="A1303">
        <v>713</v>
      </c>
      <c r="B1303">
        <v>6</v>
      </c>
      <c r="C1303">
        <v>2</v>
      </c>
      <c r="D1303">
        <v>58</v>
      </c>
    </row>
    <row r="1304" spans="1:4" x14ac:dyDescent="0.3">
      <c r="A1304">
        <v>234</v>
      </c>
      <c r="B1304">
        <v>16</v>
      </c>
      <c r="C1304">
        <v>3</v>
      </c>
      <c r="D1304">
        <v>50</v>
      </c>
    </row>
    <row r="1305" spans="1:4" x14ac:dyDescent="0.3">
      <c r="A1305">
        <v>540</v>
      </c>
      <c r="B1305">
        <v>24</v>
      </c>
      <c r="C1305">
        <v>1</v>
      </c>
      <c r="D1305">
        <v>92</v>
      </c>
    </row>
    <row r="1306" spans="1:4" x14ac:dyDescent="0.3">
      <c r="A1306">
        <v>11</v>
      </c>
      <c r="B1306">
        <v>48</v>
      </c>
      <c r="C1306">
        <v>4</v>
      </c>
      <c r="D1306">
        <v>39</v>
      </c>
    </row>
    <row r="1307" spans="1:4" x14ac:dyDescent="0.3">
      <c r="A1307">
        <v>206</v>
      </c>
      <c r="B1307">
        <v>39</v>
      </c>
      <c r="C1307">
        <v>2</v>
      </c>
      <c r="D1307">
        <v>14</v>
      </c>
    </row>
    <row r="1308" spans="1:4" x14ac:dyDescent="0.3">
      <c r="A1308">
        <v>679</v>
      </c>
      <c r="B1308">
        <v>30</v>
      </c>
      <c r="C1308">
        <v>1</v>
      </c>
      <c r="D1308">
        <v>104</v>
      </c>
    </row>
    <row r="1309" spans="1:4" x14ac:dyDescent="0.3">
      <c r="A1309">
        <v>247</v>
      </c>
      <c r="B1309">
        <v>45</v>
      </c>
      <c r="C1309">
        <v>5</v>
      </c>
      <c r="D1309">
        <v>80</v>
      </c>
    </row>
    <row r="1310" spans="1:4" x14ac:dyDescent="0.3">
      <c r="A1310">
        <v>559</v>
      </c>
      <c r="B1310">
        <v>13</v>
      </c>
      <c r="C1310">
        <v>2</v>
      </c>
      <c r="D1310">
        <v>92</v>
      </c>
    </row>
    <row r="1311" spans="1:4" x14ac:dyDescent="0.3">
      <c r="A1311">
        <v>758</v>
      </c>
      <c r="B1311">
        <v>5</v>
      </c>
      <c r="C1311">
        <v>2</v>
      </c>
      <c r="D1311">
        <v>40</v>
      </c>
    </row>
    <row r="1312" spans="1:4" x14ac:dyDescent="0.3">
      <c r="A1312">
        <v>127</v>
      </c>
      <c r="B1312">
        <v>25</v>
      </c>
      <c r="C1312">
        <v>4</v>
      </c>
      <c r="D1312">
        <v>61</v>
      </c>
    </row>
    <row r="1313" spans="1:4" x14ac:dyDescent="0.3">
      <c r="A1313">
        <v>147</v>
      </c>
      <c r="B1313">
        <v>20</v>
      </c>
      <c r="C1313">
        <v>3</v>
      </c>
      <c r="D1313">
        <v>112</v>
      </c>
    </row>
    <row r="1314" spans="1:4" x14ac:dyDescent="0.3">
      <c r="A1314">
        <v>118</v>
      </c>
      <c r="B1314">
        <v>18</v>
      </c>
      <c r="C1314">
        <v>3</v>
      </c>
      <c r="D1314">
        <v>97</v>
      </c>
    </row>
    <row r="1315" spans="1:4" x14ac:dyDescent="0.3">
      <c r="A1315">
        <v>911</v>
      </c>
      <c r="B1315">
        <v>47</v>
      </c>
      <c r="C1315">
        <v>2</v>
      </c>
      <c r="D1315">
        <v>107</v>
      </c>
    </row>
    <row r="1316" spans="1:4" x14ac:dyDescent="0.3">
      <c r="A1316">
        <v>382</v>
      </c>
      <c r="B1316">
        <v>18</v>
      </c>
      <c r="C1316">
        <v>1</v>
      </c>
      <c r="D1316">
        <v>32</v>
      </c>
    </row>
    <row r="1317" spans="1:4" x14ac:dyDescent="0.3">
      <c r="A1317">
        <v>412</v>
      </c>
      <c r="B1317">
        <v>2</v>
      </c>
      <c r="C1317">
        <v>5</v>
      </c>
      <c r="D1317">
        <v>57</v>
      </c>
    </row>
    <row r="1318" spans="1:4" x14ac:dyDescent="0.3">
      <c r="A1318">
        <v>664</v>
      </c>
      <c r="B1318">
        <v>10</v>
      </c>
      <c r="C1318">
        <v>5</v>
      </c>
      <c r="D1318">
        <v>118</v>
      </c>
    </row>
    <row r="1319" spans="1:4" x14ac:dyDescent="0.3">
      <c r="A1319">
        <v>584</v>
      </c>
      <c r="B1319">
        <v>45</v>
      </c>
      <c r="C1319">
        <v>1</v>
      </c>
      <c r="D1319">
        <v>49</v>
      </c>
    </row>
    <row r="1320" spans="1:4" x14ac:dyDescent="0.3">
      <c r="A1320">
        <v>363</v>
      </c>
      <c r="B1320">
        <v>50</v>
      </c>
      <c r="C1320">
        <v>2</v>
      </c>
      <c r="D1320">
        <v>15</v>
      </c>
    </row>
    <row r="1321" spans="1:4" x14ac:dyDescent="0.3">
      <c r="A1321">
        <v>509</v>
      </c>
      <c r="B1321">
        <v>47</v>
      </c>
      <c r="C1321">
        <v>5</v>
      </c>
      <c r="D1321">
        <v>47</v>
      </c>
    </row>
    <row r="1322" spans="1:4" x14ac:dyDescent="0.3">
      <c r="A1322">
        <v>137</v>
      </c>
      <c r="B1322">
        <v>12</v>
      </c>
      <c r="C1322">
        <v>3</v>
      </c>
      <c r="D1322">
        <v>50</v>
      </c>
    </row>
    <row r="1323" spans="1:4" x14ac:dyDescent="0.3">
      <c r="A1323">
        <v>175</v>
      </c>
      <c r="B1323">
        <v>47</v>
      </c>
      <c r="C1323">
        <v>1</v>
      </c>
      <c r="D1323">
        <v>109</v>
      </c>
    </row>
    <row r="1324" spans="1:4" x14ac:dyDescent="0.3">
      <c r="A1324">
        <v>289</v>
      </c>
      <c r="B1324">
        <v>13</v>
      </c>
      <c r="C1324">
        <v>4</v>
      </c>
      <c r="D1324">
        <v>36</v>
      </c>
    </row>
    <row r="1325" spans="1:4" x14ac:dyDescent="0.3">
      <c r="A1325">
        <v>958</v>
      </c>
      <c r="B1325">
        <v>50</v>
      </c>
      <c r="C1325">
        <v>2</v>
      </c>
      <c r="D1325">
        <v>84</v>
      </c>
    </row>
    <row r="1326" spans="1:4" x14ac:dyDescent="0.3">
      <c r="A1326">
        <v>481</v>
      </c>
      <c r="B1326">
        <v>47</v>
      </c>
      <c r="C1326">
        <v>1</v>
      </c>
      <c r="D1326">
        <v>78</v>
      </c>
    </row>
    <row r="1327" spans="1:4" x14ac:dyDescent="0.3">
      <c r="A1327">
        <v>19</v>
      </c>
      <c r="B1327">
        <v>11</v>
      </c>
      <c r="C1327">
        <v>5</v>
      </c>
      <c r="D1327">
        <v>66</v>
      </c>
    </row>
    <row r="1328" spans="1:4" x14ac:dyDescent="0.3">
      <c r="A1328">
        <v>195</v>
      </c>
      <c r="B1328">
        <v>19</v>
      </c>
      <c r="C1328">
        <v>2</v>
      </c>
      <c r="D1328">
        <v>26</v>
      </c>
    </row>
    <row r="1329" spans="1:4" x14ac:dyDescent="0.3">
      <c r="A1329">
        <v>330</v>
      </c>
      <c r="B1329">
        <v>35</v>
      </c>
      <c r="C1329">
        <v>3</v>
      </c>
      <c r="D1329">
        <v>80</v>
      </c>
    </row>
    <row r="1330" spans="1:4" x14ac:dyDescent="0.3">
      <c r="A1330">
        <v>936</v>
      </c>
      <c r="B1330">
        <v>39</v>
      </c>
      <c r="C1330">
        <v>2</v>
      </c>
      <c r="D1330">
        <v>100</v>
      </c>
    </row>
    <row r="1331" spans="1:4" x14ac:dyDescent="0.3">
      <c r="A1331">
        <v>175</v>
      </c>
      <c r="B1331">
        <v>26</v>
      </c>
      <c r="C1331">
        <v>2</v>
      </c>
      <c r="D1331">
        <v>56</v>
      </c>
    </row>
    <row r="1332" spans="1:4" x14ac:dyDescent="0.3">
      <c r="A1332">
        <v>449</v>
      </c>
      <c r="B1332">
        <v>46</v>
      </c>
      <c r="C1332">
        <v>3</v>
      </c>
      <c r="D1332">
        <v>88</v>
      </c>
    </row>
    <row r="1333" spans="1:4" x14ac:dyDescent="0.3">
      <c r="A1333">
        <v>925</v>
      </c>
      <c r="B1333">
        <v>14</v>
      </c>
      <c r="C1333">
        <v>3</v>
      </c>
      <c r="D1333">
        <v>119</v>
      </c>
    </row>
    <row r="1334" spans="1:4" x14ac:dyDescent="0.3">
      <c r="A1334">
        <v>946</v>
      </c>
      <c r="B1334">
        <v>45</v>
      </c>
      <c r="C1334">
        <v>2</v>
      </c>
      <c r="D1334">
        <v>22</v>
      </c>
    </row>
    <row r="1335" spans="1:4" x14ac:dyDescent="0.3">
      <c r="A1335">
        <v>354</v>
      </c>
      <c r="B1335">
        <v>44</v>
      </c>
      <c r="C1335">
        <v>3</v>
      </c>
      <c r="D1335">
        <v>20</v>
      </c>
    </row>
    <row r="1336" spans="1:4" x14ac:dyDescent="0.3">
      <c r="A1336">
        <v>499</v>
      </c>
      <c r="B1336">
        <v>24</v>
      </c>
      <c r="C1336">
        <v>1</v>
      </c>
      <c r="D1336">
        <v>118</v>
      </c>
    </row>
    <row r="1337" spans="1:4" x14ac:dyDescent="0.3">
      <c r="A1337">
        <v>141</v>
      </c>
      <c r="B1337">
        <v>41</v>
      </c>
      <c r="C1337">
        <v>3</v>
      </c>
      <c r="D1337">
        <v>99</v>
      </c>
    </row>
    <row r="1338" spans="1:4" x14ac:dyDescent="0.3">
      <c r="A1338">
        <v>758</v>
      </c>
      <c r="B1338">
        <v>1</v>
      </c>
      <c r="C1338">
        <v>3</v>
      </c>
      <c r="D1338">
        <v>95</v>
      </c>
    </row>
    <row r="1339" spans="1:4" x14ac:dyDescent="0.3">
      <c r="A1339">
        <v>897</v>
      </c>
      <c r="B1339">
        <v>43</v>
      </c>
      <c r="C1339">
        <v>2</v>
      </c>
      <c r="D1339">
        <v>101</v>
      </c>
    </row>
    <row r="1340" spans="1:4" x14ac:dyDescent="0.3">
      <c r="A1340">
        <v>930</v>
      </c>
      <c r="B1340">
        <v>22</v>
      </c>
      <c r="C1340">
        <v>1</v>
      </c>
      <c r="D1340">
        <v>33</v>
      </c>
    </row>
    <row r="1341" spans="1:4" x14ac:dyDescent="0.3">
      <c r="A1341">
        <v>93</v>
      </c>
      <c r="B1341">
        <v>23</v>
      </c>
      <c r="C1341">
        <v>4</v>
      </c>
      <c r="D1341">
        <v>102</v>
      </c>
    </row>
    <row r="1342" spans="1:4" x14ac:dyDescent="0.3">
      <c r="A1342">
        <v>944</v>
      </c>
      <c r="B1342">
        <v>19</v>
      </c>
      <c r="C1342">
        <v>4</v>
      </c>
      <c r="D1342">
        <v>82</v>
      </c>
    </row>
    <row r="1343" spans="1:4" x14ac:dyDescent="0.3">
      <c r="A1343">
        <v>239</v>
      </c>
      <c r="B1343">
        <v>18</v>
      </c>
      <c r="C1343">
        <v>5</v>
      </c>
      <c r="D1343">
        <v>115</v>
      </c>
    </row>
    <row r="1344" spans="1:4" x14ac:dyDescent="0.3">
      <c r="A1344">
        <v>205</v>
      </c>
      <c r="B1344">
        <v>12</v>
      </c>
      <c r="C1344">
        <v>3</v>
      </c>
      <c r="D1344">
        <v>13</v>
      </c>
    </row>
    <row r="1345" spans="1:4" x14ac:dyDescent="0.3">
      <c r="A1345">
        <v>560</v>
      </c>
      <c r="B1345">
        <v>28</v>
      </c>
      <c r="C1345">
        <v>3</v>
      </c>
      <c r="D1345">
        <v>55</v>
      </c>
    </row>
    <row r="1346" spans="1:4" x14ac:dyDescent="0.3">
      <c r="A1346">
        <v>433</v>
      </c>
      <c r="B1346">
        <v>28</v>
      </c>
      <c r="C1346">
        <v>1</v>
      </c>
      <c r="D1346">
        <v>27</v>
      </c>
    </row>
    <row r="1347" spans="1:4" x14ac:dyDescent="0.3">
      <c r="A1347">
        <v>245</v>
      </c>
      <c r="B1347">
        <v>33</v>
      </c>
      <c r="C1347">
        <v>4</v>
      </c>
      <c r="D1347">
        <v>52</v>
      </c>
    </row>
    <row r="1348" spans="1:4" x14ac:dyDescent="0.3">
      <c r="A1348">
        <v>832</v>
      </c>
      <c r="B1348">
        <v>19</v>
      </c>
      <c r="C1348">
        <v>5</v>
      </c>
      <c r="D1348">
        <v>89</v>
      </c>
    </row>
    <row r="1349" spans="1:4" x14ac:dyDescent="0.3">
      <c r="A1349">
        <v>317</v>
      </c>
      <c r="B1349">
        <v>28</v>
      </c>
      <c r="C1349">
        <v>1</v>
      </c>
      <c r="D1349">
        <v>42</v>
      </c>
    </row>
    <row r="1350" spans="1:4" x14ac:dyDescent="0.3">
      <c r="A1350">
        <v>925</v>
      </c>
      <c r="B1350">
        <v>49</v>
      </c>
      <c r="C1350">
        <v>3</v>
      </c>
      <c r="D1350">
        <v>102</v>
      </c>
    </row>
    <row r="1351" spans="1:4" x14ac:dyDescent="0.3">
      <c r="A1351">
        <v>295</v>
      </c>
      <c r="B1351">
        <v>37</v>
      </c>
      <c r="C1351">
        <v>4</v>
      </c>
      <c r="D1351">
        <v>112</v>
      </c>
    </row>
    <row r="1352" spans="1:4" x14ac:dyDescent="0.3">
      <c r="A1352">
        <v>640</v>
      </c>
      <c r="B1352">
        <v>26</v>
      </c>
      <c r="C1352">
        <v>5</v>
      </c>
      <c r="D1352">
        <v>19</v>
      </c>
    </row>
    <row r="1353" spans="1:4" x14ac:dyDescent="0.3">
      <c r="A1353">
        <v>856</v>
      </c>
      <c r="B1353">
        <v>35</v>
      </c>
      <c r="C1353">
        <v>2</v>
      </c>
      <c r="D1353">
        <v>82</v>
      </c>
    </row>
    <row r="1354" spans="1:4" x14ac:dyDescent="0.3">
      <c r="A1354">
        <v>282</v>
      </c>
      <c r="B1354">
        <v>34</v>
      </c>
      <c r="C1354">
        <v>4</v>
      </c>
      <c r="D1354">
        <v>68</v>
      </c>
    </row>
    <row r="1355" spans="1:4" x14ac:dyDescent="0.3">
      <c r="A1355">
        <v>17</v>
      </c>
      <c r="B1355">
        <v>35</v>
      </c>
      <c r="C1355">
        <v>5</v>
      </c>
      <c r="D1355">
        <v>40</v>
      </c>
    </row>
    <row r="1356" spans="1:4" x14ac:dyDescent="0.3">
      <c r="A1356">
        <v>71</v>
      </c>
      <c r="B1356">
        <v>40</v>
      </c>
      <c r="C1356">
        <v>1</v>
      </c>
      <c r="D1356">
        <v>37</v>
      </c>
    </row>
    <row r="1357" spans="1:4" x14ac:dyDescent="0.3">
      <c r="A1357">
        <v>269</v>
      </c>
      <c r="B1357">
        <v>16</v>
      </c>
      <c r="C1357">
        <v>2</v>
      </c>
      <c r="D1357">
        <v>69</v>
      </c>
    </row>
    <row r="1358" spans="1:4" x14ac:dyDescent="0.3">
      <c r="A1358">
        <v>325</v>
      </c>
      <c r="B1358">
        <v>38</v>
      </c>
      <c r="C1358">
        <v>5</v>
      </c>
      <c r="D1358">
        <v>12</v>
      </c>
    </row>
    <row r="1359" spans="1:4" x14ac:dyDescent="0.3">
      <c r="A1359">
        <v>794</v>
      </c>
      <c r="B1359">
        <v>13</v>
      </c>
      <c r="C1359">
        <v>5</v>
      </c>
      <c r="D1359">
        <v>64</v>
      </c>
    </row>
    <row r="1360" spans="1:4" x14ac:dyDescent="0.3">
      <c r="A1360">
        <v>305</v>
      </c>
      <c r="B1360">
        <v>23</v>
      </c>
      <c r="C1360">
        <v>3</v>
      </c>
      <c r="D1360">
        <v>23</v>
      </c>
    </row>
    <row r="1361" spans="1:4" x14ac:dyDescent="0.3">
      <c r="A1361">
        <v>451</v>
      </c>
      <c r="B1361">
        <v>22</v>
      </c>
      <c r="C1361">
        <v>4</v>
      </c>
      <c r="D1361">
        <v>67</v>
      </c>
    </row>
    <row r="1362" spans="1:4" x14ac:dyDescent="0.3">
      <c r="A1362">
        <v>7</v>
      </c>
      <c r="B1362">
        <v>16</v>
      </c>
      <c r="C1362">
        <v>3</v>
      </c>
      <c r="D1362">
        <v>98</v>
      </c>
    </row>
    <row r="1363" spans="1:4" x14ac:dyDescent="0.3">
      <c r="A1363">
        <v>314</v>
      </c>
      <c r="B1363">
        <v>28</v>
      </c>
      <c r="C1363">
        <v>2</v>
      </c>
      <c r="D1363">
        <v>24</v>
      </c>
    </row>
    <row r="1364" spans="1:4" x14ac:dyDescent="0.3">
      <c r="A1364">
        <v>817</v>
      </c>
      <c r="B1364">
        <v>48</v>
      </c>
      <c r="C1364">
        <v>5</v>
      </c>
      <c r="D1364">
        <v>11</v>
      </c>
    </row>
    <row r="1365" spans="1:4" x14ac:dyDescent="0.3">
      <c r="A1365">
        <v>103</v>
      </c>
      <c r="B1365">
        <v>35</v>
      </c>
      <c r="C1365">
        <v>3</v>
      </c>
      <c r="D1365">
        <v>33</v>
      </c>
    </row>
    <row r="1366" spans="1:4" x14ac:dyDescent="0.3">
      <c r="A1366">
        <v>821</v>
      </c>
      <c r="B1366">
        <v>45</v>
      </c>
      <c r="C1366">
        <v>4</v>
      </c>
      <c r="D1366">
        <v>87</v>
      </c>
    </row>
    <row r="1367" spans="1:4" x14ac:dyDescent="0.3">
      <c r="A1367">
        <v>193</v>
      </c>
      <c r="B1367">
        <v>46</v>
      </c>
      <c r="C1367">
        <v>2</v>
      </c>
      <c r="D1367">
        <v>73</v>
      </c>
    </row>
    <row r="1368" spans="1:4" x14ac:dyDescent="0.3">
      <c r="A1368">
        <v>753</v>
      </c>
      <c r="B1368">
        <v>8</v>
      </c>
      <c r="C1368">
        <v>1</v>
      </c>
      <c r="D1368">
        <v>80</v>
      </c>
    </row>
    <row r="1369" spans="1:4" x14ac:dyDescent="0.3">
      <c r="A1369">
        <v>574</v>
      </c>
      <c r="B1369">
        <v>44</v>
      </c>
      <c r="C1369">
        <v>3</v>
      </c>
      <c r="D1369">
        <v>109</v>
      </c>
    </row>
    <row r="1370" spans="1:4" x14ac:dyDescent="0.3">
      <c r="A1370">
        <v>529</v>
      </c>
      <c r="B1370">
        <v>22</v>
      </c>
      <c r="C1370">
        <v>2</v>
      </c>
      <c r="D1370">
        <v>33</v>
      </c>
    </row>
    <row r="1371" spans="1:4" x14ac:dyDescent="0.3">
      <c r="A1371">
        <v>171</v>
      </c>
      <c r="B1371">
        <v>21</v>
      </c>
      <c r="C1371">
        <v>1</v>
      </c>
      <c r="D1371">
        <v>36</v>
      </c>
    </row>
    <row r="1372" spans="1:4" x14ac:dyDescent="0.3">
      <c r="A1372">
        <v>537</v>
      </c>
      <c r="B1372">
        <v>26</v>
      </c>
      <c r="C1372">
        <v>3</v>
      </c>
      <c r="D1372">
        <v>46</v>
      </c>
    </row>
    <row r="1373" spans="1:4" x14ac:dyDescent="0.3">
      <c r="A1373">
        <v>251</v>
      </c>
      <c r="B1373">
        <v>40</v>
      </c>
      <c r="C1373">
        <v>2</v>
      </c>
      <c r="D1373">
        <v>111</v>
      </c>
    </row>
    <row r="1374" spans="1:4" x14ac:dyDescent="0.3">
      <c r="A1374">
        <v>765</v>
      </c>
      <c r="B1374">
        <v>21</v>
      </c>
      <c r="C1374">
        <v>2</v>
      </c>
      <c r="D1374">
        <v>103</v>
      </c>
    </row>
    <row r="1375" spans="1:4" x14ac:dyDescent="0.3">
      <c r="A1375">
        <v>387</v>
      </c>
      <c r="B1375">
        <v>25</v>
      </c>
      <c r="C1375">
        <v>3</v>
      </c>
      <c r="D1375">
        <v>100</v>
      </c>
    </row>
    <row r="1376" spans="1:4" x14ac:dyDescent="0.3">
      <c r="A1376">
        <v>207</v>
      </c>
      <c r="B1376">
        <v>41</v>
      </c>
      <c r="C1376">
        <v>2</v>
      </c>
      <c r="D1376">
        <v>48</v>
      </c>
    </row>
    <row r="1377" spans="1:4" x14ac:dyDescent="0.3">
      <c r="A1377">
        <v>541</v>
      </c>
      <c r="B1377">
        <v>1</v>
      </c>
      <c r="C1377">
        <v>5</v>
      </c>
      <c r="D1377">
        <v>72</v>
      </c>
    </row>
    <row r="1378" spans="1:4" x14ac:dyDescent="0.3">
      <c r="A1378">
        <v>629</v>
      </c>
      <c r="B1378">
        <v>6</v>
      </c>
      <c r="C1378">
        <v>3</v>
      </c>
      <c r="D1378">
        <v>88</v>
      </c>
    </row>
    <row r="1379" spans="1:4" x14ac:dyDescent="0.3">
      <c r="A1379">
        <v>416</v>
      </c>
      <c r="B1379">
        <v>23</v>
      </c>
      <c r="C1379">
        <v>2</v>
      </c>
      <c r="D1379">
        <v>35</v>
      </c>
    </row>
    <row r="1380" spans="1:4" x14ac:dyDescent="0.3">
      <c r="A1380">
        <v>794</v>
      </c>
      <c r="B1380">
        <v>23</v>
      </c>
      <c r="C1380">
        <v>1</v>
      </c>
      <c r="D1380">
        <v>74</v>
      </c>
    </row>
    <row r="1381" spans="1:4" x14ac:dyDescent="0.3">
      <c r="A1381">
        <v>380</v>
      </c>
      <c r="B1381">
        <v>43</v>
      </c>
      <c r="C1381">
        <v>1</v>
      </c>
      <c r="D1381">
        <v>13</v>
      </c>
    </row>
    <row r="1382" spans="1:4" x14ac:dyDescent="0.3">
      <c r="A1382">
        <v>144</v>
      </c>
      <c r="B1382">
        <v>43</v>
      </c>
      <c r="C1382">
        <v>5</v>
      </c>
      <c r="D1382">
        <v>38</v>
      </c>
    </row>
    <row r="1383" spans="1:4" x14ac:dyDescent="0.3">
      <c r="A1383">
        <v>25</v>
      </c>
      <c r="B1383">
        <v>23</v>
      </c>
      <c r="C1383">
        <v>3</v>
      </c>
      <c r="D1383">
        <v>10</v>
      </c>
    </row>
    <row r="1384" spans="1:4" x14ac:dyDescent="0.3">
      <c r="A1384">
        <v>822</v>
      </c>
      <c r="B1384">
        <v>32</v>
      </c>
      <c r="C1384">
        <v>2</v>
      </c>
      <c r="D1384">
        <v>116</v>
      </c>
    </row>
    <row r="1385" spans="1:4" x14ac:dyDescent="0.3">
      <c r="A1385">
        <v>668</v>
      </c>
      <c r="B1385">
        <v>30</v>
      </c>
      <c r="C1385">
        <v>2</v>
      </c>
      <c r="D1385">
        <v>59</v>
      </c>
    </row>
    <row r="1386" spans="1:4" x14ac:dyDescent="0.3">
      <c r="A1386">
        <v>73</v>
      </c>
      <c r="B1386">
        <v>13</v>
      </c>
      <c r="C1386">
        <v>1</v>
      </c>
      <c r="D1386">
        <v>119</v>
      </c>
    </row>
    <row r="1387" spans="1:4" x14ac:dyDescent="0.3">
      <c r="A1387">
        <v>632</v>
      </c>
      <c r="B1387">
        <v>43</v>
      </c>
      <c r="C1387">
        <v>5</v>
      </c>
      <c r="D1387">
        <v>95</v>
      </c>
    </row>
    <row r="1388" spans="1:4" x14ac:dyDescent="0.3">
      <c r="A1388">
        <v>824</v>
      </c>
      <c r="B1388">
        <v>18</v>
      </c>
      <c r="C1388">
        <v>1</v>
      </c>
      <c r="D1388">
        <v>20</v>
      </c>
    </row>
    <row r="1389" spans="1:4" x14ac:dyDescent="0.3">
      <c r="A1389">
        <v>833</v>
      </c>
      <c r="B1389">
        <v>23</v>
      </c>
      <c r="C1389">
        <v>1</v>
      </c>
      <c r="D1389">
        <v>83</v>
      </c>
    </row>
    <row r="1390" spans="1:4" x14ac:dyDescent="0.3">
      <c r="A1390">
        <v>93</v>
      </c>
      <c r="B1390">
        <v>15</v>
      </c>
      <c r="C1390">
        <v>5</v>
      </c>
      <c r="D1390">
        <v>68</v>
      </c>
    </row>
    <row r="1391" spans="1:4" x14ac:dyDescent="0.3">
      <c r="A1391">
        <v>505</v>
      </c>
      <c r="B1391">
        <v>33</v>
      </c>
      <c r="C1391">
        <v>3</v>
      </c>
      <c r="D1391">
        <v>71</v>
      </c>
    </row>
    <row r="1392" spans="1:4" x14ac:dyDescent="0.3">
      <c r="A1392">
        <v>598</v>
      </c>
      <c r="B1392">
        <v>21</v>
      </c>
      <c r="C1392">
        <v>2</v>
      </c>
      <c r="D1392">
        <v>90</v>
      </c>
    </row>
    <row r="1393" spans="1:4" x14ac:dyDescent="0.3">
      <c r="A1393">
        <v>336</v>
      </c>
      <c r="B1393">
        <v>39</v>
      </c>
      <c r="C1393">
        <v>3</v>
      </c>
      <c r="D1393">
        <v>45</v>
      </c>
    </row>
    <row r="1394" spans="1:4" x14ac:dyDescent="0.3">
      <c r="A1394">
        <v>425</v>
      </c>
      <c r="B1394">
        <v>23</v>
      </c>
      <c r="C1394">
        <v>4</v>
      </c>
      <c r="D1394">
        <v>65</v>
      </c>
    </row>
    <row r="1395" spans="1:4" x14ac:dyDescent="0.3">
      <c r="A1395">
        <v>499</v>
      </c>
      <c r="B1395">
        <v>27</v>
      </c>
      <c r="C1395">
        <v>4</v>
      </c>
      <c r="D1395">
        <v>99</v>
      </c>
    </row>
    <row r="1396" spans="1:4" x14ac:dyDescent="0.3">
      <c r="A1396">
        <v>364</v>
      </c>
      <c r="B1396">
        <v>45</v>
      </c>
      <c r="C1396">
        <v>4</v>
      </c>
      <c r="D1396">
        <v>30</v>
      </c>
    </row>
    <row r="1397" spans="1:4" x14ac:dyDescent="0.3">
      <c r="A1397">
        <v>947</v>
      </c>
      <c r="B1397">
        <v>44</v>
      </c>
      <c r="C1397">
        <v>5</v>
      </c>
      <c r="D1397">
        <v>22</v>
      </c>
    </row>
    <row r="1398" spans="1:4" x14ac:dyDescent="0.3">
      <c r="A1398">
        <v>630</v>
      </c>
      <c r="B1398">
        <v>18</v>
      </c>
      <c r="C1398">
        <v>1</v>
      </c>
      <c r="D1398">
        <v>18</v>
      </c>
    </row>
    <row r="1399" spans="1:4" x14ac:dyDescent="0.3">
      <c r="A1399">
        <v>745</v>
      </c>
      <c r="B1399">
        <v>24</v>
      </c>
      <c r="C1399">
        <v>3</v>
      </c>
      <c r="D1399">
        <v>20</v>
      </c>
    </row>
    <row r="1400" spans="1:4" x14ac:dyDescent="0.3">
      <c r="A1400">
        <v>199</v>
      </c>
      <c r="B1400">
        <v>47</v>
      </c>
      <c r="C1400">
        <v>2</v>
      </c>
      <c r="D1400">
        <v>84</v>
      </c>
    </row>
    <row r="1401" spans="1:4" x14ac:dyDescent="0.3">
      <c r="A1401">
        <v>718</v>
      </c>
      <c r="B1401">
        <v>40</v>
      </c>
      <c r="C1401">
        <v>4</v>
      </c>
      <c r="D1401">
        <v>79</v>
      </c>
    </row>
    <row r="1402" spans="1:4" x14ac:dyDescent="0.3">
      <c r="A1402">
        <v>413</v>
      </c>
      <c r="B1402">
        <v>42</v>
      </c>
      <c r="C1402">
        <v>3</v>
      </c>
      <c r="D1402">
        <v>10</v>
      </c>
    </row>
    <row r="1403" spans="1:4" x14ac:dyDescent="0.3">
      <c r="A1403">
        <v>339</v>
      </c>
      <c r="B1403">
        <v>7</v>
      </c>
      <c r="C1403">
        <v>4</v>
      </c>
      <c r="D1403">
        <v>79</v>
      </c>
    </row>
    <row r="1404" spans="1:4" x14ac:dyDescent="0.3">
      <c r="A1404">
        <v>659</v>
      </c>
      <c r="B1404">
        <v>50</v>
      </c>
      <c r="C1404">
        <v>4</v>
      </c>
      <c r="D1404">
        <v>86</v>
      </c>
    </row>
    <row r="1405" spans="1:4" x14ac:dyDescent="0.3">
      <c r="A1405">
        <v>962</v>
      </c>
      <c r="B1405">
        <v>48</v>
      </c>
      <c r="C1405">
        <v>2</v>
      </c>
      <c r="D1405">
        <v>95</v>
      </c>
    </row>
    <row r="1406" spans="1:4" x14ac:dyDescent="0.3">
      <c r="A1406">
        <v>937</v>
      </c>
      <c r="B1406">
        <v>20</v>
      </c>
      <c r="C1406">
        <v>5</v>
      </c>
      <c r="D1406">
        <v>65</v>
      </c>
    </row>
    <row r="1407" spans="1:4" x14ac:dyDescent="0.3">
      <c r="A1407">
        <v>429</v>
      </c>
      <c r="B1407">
        <v>27</v>
      </c>
      <c r="C1407">
        <v>1</v>
      </c>
      <c r="D1407">
        <v>40</v>
      </c>
    </row>
    <row r="1408" spans="1:4" x14ac:dyDescent="0.3">
      <c r="A1408">
        <v>783</v>
      </c>
      <c r="B1408">
        <v>6</v>
      </c>
      <c r="C1408">
        <v>5</v>
      </c>
      <c r="D1408">
        <v>95</v>
      </c>
    </row>
    <row r="1409" spans="1:4" x14ac:dyDescent="0.3">
      <c r="A1409">
        <v>899</v>
      </c>
      <c r="B1409">
        <v>27</v>
      </c>
      <c r="C1409">
        <v>3</v>
      </c>
      <c r="D1409">
        <v>46</v>
      </c>
    </row>
    <row r="1410" spans="1:4" x14ac:dyDescent="0.3">
      <c r="A1410">
        <v>139</v>
      </c>
      <c r="B1410">
        <v>9</v>
      </c>
      <c r="C1410">
        <v>5</v>
      </c>
      <c r="D1410">
        <v>56</v>
      </c>
    </row>
    <row r="1411" spans="1:4" x14ac:dyDescent="0.3">
      <c r="A1411">
        <v>693</v>
      </c>
      <c r="B1411">
        <v>45</v>
      </c>
      <c r="C1411">
        <v>3</v>
      </c>
      <c r="D1411">
        <v>100</v>
      </c>
    </row>
    <row r="1412" spans="1:4" x14ac:dyDescent="0.3">
      <c r="A1412">
        <v>942</v>
      </c>
      <c r="B1412">
        <v>31</v>
      </c>
      <c r="C1412">
        <v>3</v>
      </c>
      <c r="D1412">
        <v>87</v>
      </c>
    </row>
    <row r="1413" spans="1:4" x14ac:dyDescent="0.3">
      <c r="A1413">
        <v>542</v>
      </c>
      <c r="B1413">
        <v>21</v>
      </c>
      <c r="C1413">
        <v>1</v>
      </c>
      <c r="D1413">
        <v>56</v>
      </c>
    </row>
    <row r="1414" spans="1:4" x14ac:dyDescent="0.3">
      <c r="A1414">
        <v>57</v>
      </c>
      <c r="B1414">
        <v>26</v>
      </c>
      <c r="C1414">
        <v>2</v>
      </c>
      <c r="D1414">
        <v>78</v>
      </c>
    </row>
    <row r="1415" spans="1:4" x14ac:dyDescent="0.3">
      <c r="A1415">
        <v>232</v>
      </c>
      <c r="B1415">
        <v>40</v>
      </c>
      <c r="C1415">
        <v>1</v>
      </c>
      <c r="D1415">
        <v>67</v>
      </c>
    </row>
    <row r="1416" spans="1:4" x14ac:dyDescent="0.3">
      <c r="A1416">
        <v>658</v>
      </c>
      <c r="B1416">
        <v>48</v>
      </c>
      <c r="C1416">
        <v>5</v>
      </c>
      <c r="D1416">
        <v>45</v>
      </c>
    </row>
    <row r="1417" spans="1:4" x14ac:dyDescent="0.3">
      <c r="A1417">
        <v>435</v>
      </c>
      <c r="B1417">
        <v>45</v>
      </c>
      <c r="C1417">
        <v>3</v>
      </c>
      <c r="D1417">
        <v>41</v>
      </c>
    </row>
    <row r="1418" spans="1:4" x14ac:dyDescent="0.3">
      <c r="A1418">
        <v>384</v>
      </c>
      <c r="B1418">
        <v>13</v>
      </c>
      <c r="C1418">
        <v>4</v>
      </c>
      <c r="D1418">
        <v>107</v>
      </c>
    </row>
    <row r="1419" spans="1:4" x14ac:dyDescent="0.3">
      <c r="A1419">
        <v>560</v>
      </c>
      <c r="B1419">
        <v>49</v>
      </c>
      <c r="C1419">
        <v>4</v>
      </c>
      <c r="D1419">
        <v>73</v>
      </c>
    </row>
    <row r="1420" spans="1:4" x14ac:dyDescent="0.3">
      <c r="A1420">
        <v>194</v>
      </c>
      <c r="B1420">
        <v>23</v>
      </c>
      <c r="C1420">
        <v>3</v>
      </c>
      <c r="D1420">
        <v>80</v>
      </c>
    </row>
    <row r="1421" spans="1:4" x14ac:dyDescent="0.3">
      <c r="A1421">
        <v>736</v>
      </c>
      <c r="B1421">
        <v>20</v>
      </c>
      <c r="C1421">
        <v>1</v>
      </c>
      <c r="D1421">
        <v>51</v>
      </c>
    </row>
    <row r="1422" spans="1:4" x14ac:dyDescent="0.3">
      <c r="A1422">
        <v>648</v>
      </c>
      <c r="B1422">
        <v>37</v>
      </c>
      <c r="C1422">
        <v>2</v>
      </c>
      <c r="D1422">
        <v>57</v>
      </c>
    </row>
    <row r="1423" spans="1:4" x14ac:dyDescent="0.3">
      <c r="A1423">
        <v>534</v>
      </c>
      <c r="B1423">
        <v>28</v>
      </c>
      <c r="C1423">
        <v>1</v>
      </c>
      <c r="D1423">
        <v>83</v>
      </c>
    </row>
    <row r="1424" spans="1:4" x14ac:dyDescent="0.3">
      <c r="A1424">
        <v>518</v>
      </c>
      <c r="B1424">
        <v>17</v>
      </c>
      <c r="C1424">
        <v>3</v>
      </c>
      <c r="D1424">
        <v>90</v>
      </c>
    </row>
    <row r="1425" spans="1:4" x14ac:dyDescent="0.3">
      <c r="A1425">
        <v>716</v>
      </c>
      <c r="B1425">
        <v>28</v>
      </c>
      <c r="C1425">
        <v>3</v>
      </c>
      <c r="D1425">
        <v>39</v>
      </c>
    </row>
    <row r="1426" spans="1:4" x14ac:dyDescent="0.3">
      <c r="A1426">
        <v>751</v>
      </c>
      <c r="B1426">
        <v>41</v>
      </c>
      <c r="C1426">
        <v>2</v>
      </c>
      <c r="D1426">
        <v>30</v>
      </c>
    </row>
    <row r="1427" spans="1:4" x14ac:dyDescent="0.3">
      <c r="A1427">
        <v>185</v>
      </c>
      <c r="B1427">
        <v>2</v>
      </c>
      <c r="C1427">
        <v>5</v>
      </c>
      <c r="D1427">
        <v>69</v>
      </c>
    </row>
    <row r="1428" spans="1:4" x14ac:dyDescent="0.3">
      <c r="A1428">
        <v>872</v>
      </c>
      <c r="B1428">
        <v>25</v>
      </c>
      <c r="C1428">
        <v>5</v>
      </c>
      <c r="D1428">
        <v>22</v>
      </c>
    </row>
    <row r="1429" spans="1:4" x14ac:dyDescent="0.3">
      <c r="A1429">
        <v>292</v>
      </c>
      <c r="B1429">
        <v>50</v>
      </c>
      <c r="C1429">
        <v>2</v>
      </c>
      <c r="D1429">
        <v>10</v>
      </c>
    </row>
    <row r="1430" spans="1:4" x14ac:dyDescent="0.3">
      <c r="A1430">
        <v>335</v>
      </c>
      <c r="B1430">
        <v>41</v>
      </c>
      <c r="C1430">
        <v>5</v>
      </c>
      <c r="D1430">
        <v>74</v>
      </c>
    </row>
    <row r="1431" spans="1:4" x14ac:dyDescent="0.3">
      <c r="A1431">
        <v>732</v>
      </c>
      <c r="B1431">
        <v>6</v>
      </c>
      <c r="C1431">
        <v>4</v>
      </c>
      <c r="D1431">
        <v>42</v>
      </c>
    </row>
    <row r="1432" spans="1:4" x14ac:dyDescent="0.3">
      <c r="A1432">
        <v>116</v>
      </c>
      <c r="B1432">
        <v>11</v>
      </c>
      <c r="C1432">
        <v>5</v>
      </c>
      <c r="D1432">
        <v>47</v>
      </c>
    </row>
    <row r="1433" spans="1:4" x14ac:dyDescent="0.3">
      <c r="A1433">
        <v>825</v>
      </c>
      <c r="B1433">
        <v>38</v>
      </c>
      <c r="C1433">
        <v>5</v>
      </c>
      <c r="D1433">
        <v>34</v>
      </c>
    </row>
    <row r="1434" spans="1:4" x14ac:dyDescent="0.3">
      <c r="A1434">
        <v>49</v>
      </c>
      <c r="B1434">
        <v>6</v>
      </c>
      <c r="C1434">
        <v>5</v>
      </c>
      <c r="D1434">
        <v>35</v>
      </c>
    </row>
    <row r="1435" spans="1:4" x14ac:dyDescent="0.3">
      <c r="A1435">
        <v>685</v>
      </c>
      <c r="B1435">
        <v>45</v>
      </c>
      <c r="C1435">
        <v>4</v>
      </c>
      <c r="D1435">
        <v>86</v>
      </c>
    </row>
    <row r="1436" spans="1:4" x14ac:dyDescent="0.3">
      <c r="A1436">
        <v>82</v>
      </c>
      <c r="B1436">
        <v>11</v>
      </c>
      <c r="C1436">
        <v>5</v>
      </c>
      <c r="D1436">
        <v>68</v>
      </c>
    </row>
    <row r="1437" spans="1:4" x14ac:dyDescent="0.3">
      <c r="A1437">
        <v>834</v>
      </c>
      <c r="B1437">
        <v>14</v>
      </c>
      <c r="C1437">
        <v>4</v>
      </c>
      <c r="D1437">
        <v>101</v>
      </c>
    </row>
    <row r="1438" spans="1:4" x14ac:dyDescent="0.3">
      <c r="A1438">
        <v>333</v>
      </c>
      <c r="B1438">
        <v>2</v>
      </c>
      <c r="C1438">
        <v>2</v>
      </c>
      <c r="D1438">
        <v>42</v>
      </c>
    </row>
    <row r="1439" spans="1:4" x14ac:dyDescent="0.3">
      <c r="A1439">
        <v>557</v>
      </c>
      <c r="B1439">
        <v>40</v>
      </c>
      <c r="C1439">
        <v>1</v>
      </c>
      <c r="D1439">
        <v>110</v>
      </c>
    </row>
    <row r="1440" spans="1:4" x14ac:dyDescent="0.3">
      <c r="A1440">
        <v>335</v>
      </c>
      <c r="B1440">
        <v>3</v>
      </c>
      <c r="C1440">
        <v>2</v>
      </c>
      <c r="D1440">
        <v>50</v>
      </c>
    </row>
    <row r="1441" spans="1:4" x14ac:dyDescent="0.3">
      <c r="A1441">
        <v>532</v>
      </c>
      <c r="B1441">
        <v>35</v>
      </c>
      <c r="C1441">
        <v>1</v>
      </c>
      <c r="D1441">
        <v>39</v>
      </c>
    </row>
    <row r="1442" spans="1:4" x14ac:dyDescent="0.3">
      <c r="A1442">
        <v>960</v>
      </c>
      <c r="B1442">
        <v>33</v>
      </c>
      <c r="C1442">
        <v>2</v>
      </c>
      <c r="D1442">
        <v>66</v>
      </c>
    </row>
    <row r="1443" spans="1:4" x14ac:dyDescent="0.3">
      <c r="A1443">
        <v>221</v>
      </c>
      <c r="B1443">
        <v>24</v>
      </c>
      <c r="C1443">
        <v>1</v>
      </c>
      <c r="D1443">
        <v>58</v>
      </c>
    </row>
    <row r="1444" spans="1:4" x14ac:dyDescent="0.3">
      <c r="A1444">
        <v>635</v>
      </c>
      <c r="B1444">
        <v>19</v>
      </c>
      <c r="C1444">
        <v>1</v>
      </c>
      <c r="D1444">
        <v>57</v>
      </c>
    </row>
    <row r="1445" spans="1:4" x14ac:dyDescent="0.3">
      <c r="A1445">
        <v>746</v>
      </c>
      <c r="B1445">
        <v>18</v>
      </c>
      <c r="C1445">
        <v>3</v>
      </c>
      <c r="D1445">
        <v>81</v>
      </c>
    </row>
    <row r="1446" spans="1:4" x14ac:dyDescent="0.3">
      <c r="A1446">
        <v>733</v>
      </c>
      <c r="B1446">
        <v>49</v>
      </c>
      <c r="C1446">
        <v>1</v>
      </c>
      <c r="D1446">
        <v>58</v>
      </c>
    </row>
    <row r="1447" spans="1:4" x14ac:dyDescent="0.3">
      <c r="A1447">
        <v>323</v>
      </c>
      <c r="B1447">
        <v>24</v>
      </c>
      <c r="C1447">
        <v>1</v>
      </c>
      <c r="D1447">
        <v>56</v>
      </c>
    </row>
    <row r="1448" spans="1:4" x14ac:dyDescent="0.3">
      <c r="A1448">
        <v>851</v>
      </c>
      <c r="B1448">
        <v>45</v>
      </c>
      <c r="C1448">
        <v>3</v>
      </c>
      <c r="D1448">
        <v>65</v>
      </c>
    </row>
    <row r="1449" spans="1:4" x14ac:dyDescent="0.3">
      <c r="A1449">
        <v>3</v>
      </c>
      <c r="B1449">
        <v>35</v>
      </c>
      <c r="C1449">
        <v>5</v>
      </c>
      <c r="D1449">
        <v>74</v>
      </c>
    </row>
    <row r="1450" spans="1:4" x14ac:dyDescent="0.3">
      <c r="A1450">
        <v>694</v>
      </c>
      <c r="B1450">
        <v>1</v>
      </c>
      <c r="C1450">
        <v>5</v>
      </c>
      <c r="D1450">
        <v>21</v>
      </c>
    </row>
    <row r="1451" spans="1:4" x14ac:dyDescent="0.3">
      <c r="A1451">
        <v>206</v>
      </c>
      <c r="B1451">
        <v>36</v>
      </c>
      <c r="C1451">
        <v>3</v>
      </c>
      <c r="D1451">
        <v>78</v>
      </c>
    </row>
    <row r="1452" spans="1:4" x14ac:dyDescent="0.3">
      <c r="A1452">
        <v>832</v>
      </c>
      <c r="B1452">
        <v>25</v>
      </c>
      <c r="C1452">
        <v>4</v>
      </c>
      <c r="D1452">
        <v>97</v>
      </c>
    </row>
    <row r="1453" spans="1:4" x14ac:dyDescent="0.3">
      <c r="A1453">
        <v>40</v>
      </c>
      <c r="B1453">
        <v>45</v>
      </c>
      <c r="C1453">
        <v>1</v>
      </c>
      <c r="D1453">
        <v>15</v>
      </c>
    </row>
    <row r="1454" spans="1:4" x14ac:dyDescent="0.3">
      <c r="A1454">
        <v>59</v>
      </c>
      <c r="B1454">
        <v>49</v>
      </c>
      <c r="C1454">
        <v>1</v>
      </c>
      <c r="D1454">
        <v>98</v>
      </c>
    </row>
    <row r="1455" spans="1:4" x14ac:dyDescent="0.3">
      <c r="A1455">
        <v>951</v>
      </c>
      <c r="B1455">
        <v>43</v>
      </c>
      <c r="C1455">
        <v>3</v>
      </c>
      <c r="D1455">
        <v>74</v>
      </c>
    </row>
    <row r="1456" spans="1:4" x14ac:dyDescent="0.3">
      <c r="A1456">
        <v>574</v>
      </c>
      <c r="B1456">
        <v>34</v>
      </c>
      <c r="C1456">
        <v>3</v>
      </c>
      <c r="D1456">
        <v>34</v>
      </c>
    </row>
    <row r="1457" spans="1:4" x14ac:dyDescent="0.3">
      <c r="A1457">
        <v>644</v>
      </c>
      <c r="B1457">
        <v>25</v>
      </c>
      <c r="C1457">
        <v>4</v>
      </c>
      <c r="D1457">
        <v>10</v>
      </c>
    </row>
    <row r="1458" spans="1:4" x14ac:dyDescent="0.3">
      <c r="A1458">
        <v>507</v>
      </c>
      <c r="B1458">
        <v>16</v>
      </c>
      <c r="C1458">
        <v>5</v>
      </c>
      <c r="D1458">
        <v>41</v>
      </c>
    </row>
    <row r="1459" spans="1:4" x14ac:dyDescent="0.3">
      <c r="A1459">
        <v>572</v>
      </c>
      <c r="B1459">
        <v>34</v>
      </c>
      <c r="C1459">
        <v>2</v>
      </c>
      <c r="D1459">
        <v>115</v>
      </c>
    </row>
    <row r="1460" spans="1:4" x14ac:dyDescent="0.3">
      <c r="A1460">
        <v>884</v>
      </c>
      <c r="B1460">
        <v>29</v>
      </c>
      <c r="C1460">
        <v>5</v>
      </c>
      <c r="D1460">
        <v>115</v>
      </c>
    </row>
    <row r="1461" spans="1:4" x14ac:dyDescent="0.3">
      <c r="A1461">
        <v>843</v>
      </c>
      <c r="B1461">
        <v>19</v>
      </c>
      <c r="C1461">
        <v>1</v>
      </c>
      <c r="D1461">
        <v>12</v>
      </c>
    </row>
    <row r="1462" spans="1:4" x14ac:dyDescent="0.3">
      <c r="A1462">
        <v>122</v>
      </c>
      <c r="B1462">
        <v>23</v>
      </c>
      <c r="C1462">
        <v>3</v>
      </c>
      <c r="D1462">
        <v>58</v>
      </c>
    </row>
    <row r="1463" spans="1:4" x14ac:dyDescent="0.3">
      <c r="A1463">
        <v>479</v>
      </c>
      <c r="B1463">
        <v>19</v>
      </c>
      <c r="C1463">
        <v>4</v>
      </c>
      <c r="D1463">
        <v>28</v>
      </c>
    </row>
    <row r="1464" spans="1:4" x14ac:dyDescent="0.3">
      <c r="A1464">
        <v>619</v>
      </c>
      <c r="B1464">
        <v>25</v>
      </c>
      <c r="C1464">
        <v>5</v>
      </c>
      <c r="D1464">
        <v>69</v>
      </c>
    </row>
    <row r="1465" spans="1:4" x14ac:dyDescent="0.3">
      <c r="A1465">
        <v>96</v>
      </c>
      <c r="B1465">
        <v>16</v>
      </c>
      <c r="C1465">
        <v>4</v>
      </c>
      <c r="D1465">
        <v>116</v>
      </c>
    </row>
    <row r="1466" spans="1:4" x14ac:dyDescent="0.3">
      <c r="A1466">
        <v>859</v>
      </c>
      <c r="B1466">
        <v>9</v>
      </c>
      <c r="C1466">
        <v>5</v>
      </c>
      <c r="D1466">
        <v>38</v>
      </c>
    </row>
    <row r="1467" spans="1:4" x14ac:dyDescent="0.3">
      <c r="A1467">
        <v>414</v>
      </c>
      <c r="B1467">
        <v>1</v>
      </c>
      <c r="C1467">
        <v>1</v>
      </c>
      <c r="D1467">
        <v>59</v>
      </c>
    </row>
    <row r="1468" spans="1:4" x14ac:dyDescent="0.3">
      <c r="A1468">
        <v>235</v>
      </c>
      <c r="B1468">
        <v>42</v>
      </c>
      <c r="C1468">
        <v>2</v>
      </c>
      <c r="D1468">
        <v>11</v>
      </c>
    </row>
    <row r="1469" spans="1:4" x14ac:dyDescent="0.3">
      <c r="A1469">
        <v>898</v>
      </c>
      <c r="B1469">
        <v>19</v>
      </c>
      <c r="C1469">
        <v>4</v>
      </c>
      <c r="D1469">
        <v>82</v>
      </c>
    </row>
    <row r="1470" spans="1:4" x14ac:dyDescent="0.3">
      <c r="A1470">
        <v>62</v>
      </c>
      <c r="B1470">
        <v>33</v>
      </c>
      <c r="C1470">
        <v>4</v>
      </c>
      <c r="D1470">
        <v>65</v>
      </c>
    </row>
    <row r="1471" spans="1:4" x14ac:dyDescent="0.3">
      <c r="A1471">
        <v>256</v>
      </c>
      <c r="B1471">
        <v>34</v>
      </c>
      <c r="C1471">
        <v>2</v>
      </c>
      <c r="D1471">
        <v>26</v>
      </c>
    </row>
    <row r="1472" spans="1:4" x14ac:dyDescent="0.3">
      <c r="A1472">
        <v>561</v>
      </c>
      <c r="B1472">
        <v>16</v>
      </c>
      <c r="C1472">
        <v>4</v>
      </c>
      <c r="D1472">
        <v>69</v>
      </c>
    </row>
    <row r="1473" spans="1:4" x14ac:dyDescent="0.3">
      <c r="A1473">
        <v>905</v>
      </c>
      <c r="B1473">
        <v>44</v>
      </c>
      <c r="C1473">
        <v>4</v>
      </c>
      <c r="D1473">
        <v>119</v>
      </c>
    </row>
    <row r="1474" spans="1:4" x14ac:dyDescent="0.3">
      <c r="A1474">
        <v>348</v>
      </c>
      <c r="B1474">
        <v>40</v>
      </c>
      <c r="C1474">
        <v>5</v>
      </c>
      <c r="D1474">
        <v>45</v>
      </c>
    </row>
    <row r="1475" spans="1:4" x14ac:dyDescent="0.3">
      <c r="A1475">
        <v>671</v>
      </c>
      <c r="B1475">
        <v>18</v>
      </c>
      <c r="C1475">
        <v>5</v>
      </c>
      <c r="D1475">
        <v>70</v>
      </c>
    </row>
    <row r="1476" spans="1:4" x14ac:dyDescent="0.3">
      <c r="A1476">
        <v>124</v>
      </c>
      <c r="B1476">
        <v>34</v>
      </c>
      <c r="C1476">
        <v>2</v>
      </c>
      <c r="D1476">
        <v>26</v>
      </c>
    </row>
    <row r="1477" spans="1:4" x14ac:dyDescent="0.3">
      <c r="A1477">
        <v>482</v>
      </c>
      <c r="B1477">
        <v>25</v>
      </c>
      <c r="C1477">
        <v>1</v>
      </c>
      <c r="D1477">
        <v>58</v>
      </c>
    </row>
    <row r="1478" spans="1:4" x14ac:dyDescent="0.3">
      <c r="A1478">
        <v>317</v>
      </c>
      <c r="B1478">
        <v>45</v>
      </c>
      <c r="C1478">
        <v>4</v>
      </c>
      <c r="D1478">
        <v>85</v>
      </c>
    </row>
    <row r="1479" spans="1:4" x14ac:dyDescent="0.3">
      <c r="A1479">
        <v>504</v>
      </c>
      <c r="B1479">
        <v>6</v>
      </c>
      <c r="C1479">
        <v>1</v>
      </c>
      <c r="D1479">
        <v>69</v>
      </c>
    </row>
    <row r="1480" spans="1:4" x14ac:dyDescent="0.3">
      <c r="A1480">
        <v>719</v>
      </c>
      <c r="B1480">
        <v>21</v>
      </c>
      <c r="C1480">
        <v>2</v>
      </c>
      <c r="D1480">
        <v>29</v>
      </c>
    </row>
    <row r="1481" spans="1:4" x14ac:dyDescent="0.3">
      <c r="A1481">
        <v>48</v>
      </c>
      <c r="B1481">
        <v>6</v>
      </c>
      <c r="C1481">
        <v>2</v>
      </c>
      <c r="D1481">
        <v>59</v>
      </c>
    </row>
    <row r="1482" spans="1:4" x14ac:dyDescent="0.3">
      <c r="A1482">
        <v>409</v>
      </c>
      <c r="B1482">
        <v>32</v>
      </c>
      <c r="C1482">
        <v>5</v>
      </c>
      <c r="D1482">
        <v>12</v>
      </c>
    </row>
    <row r="1483" spans="1:4" x14ac:dyDescent="0.3">
      <c r="A1483">
        <v>932</v>
      </c>
      <c r="B1483">
        <v>41</v>
      </c>
      <c r="C1483">
        <v>4</v>
      </c>
      <c r="D1483">
        <v>52</v>
      </c>
    </row>
    <row r="1484" spans="1:4" x14ac:dyDescent="0.3">
      <c r="A1484">
        <v>136</v>
      </c>
      <c r="B1484">
        <v>48</v>
      </c>
      <c r="C1484">
        <v>3</v>
      </c>
      <c r="D1484">
        <v>66</v>
      </c>
    </row>
    <row r="1485" spans="1:4" x14ac:dyDescent="0.3">
      <c r="A1485">
        <v>201</v>
      </c>
      <c r="B1485">
        <v>43</v>
      </c>
      <c r="C1485">
        <v>2</v>
      </c>
      <c r="D1485">
        <v>59</v>
      </c>
    </row>
    <row r="1486" spans="1:4" x14ac:dyDescent="0.3">
      <c r="A1486">
        <v>250</v>
      </c>
      <c r="B1486">
        <v>39</v>
      </c>
      <c r="C1486">
        <v>4</v>
      </c>
      <c r="D1486">
        <v>77</v>
      </c>
    </row>
    <row r="1487" spans="1:4" x14ac:dyDescent="0.3">
      <c r="A1487">
        <v>314</v>
      </c>
      <c r="B1487">
        <v>31</v>
      </c>
      <c r="C1487">
        <v>1</v>
      </c>
      <c r="D1487">
        <v>90</v>
      </c>
    </row>
    <row r="1488" spans="1:4" x14ac:dyDescent="0.3">
      <c r="A1488">
        <v>869</v>
      </c>
      <c r="B1488">
        <v>42</v>
      </c>
      <c r="C1488">
        <v>5</v>
      </c>
      <c r="D1488">
        <v>59</v>
      </c>
    </row>
    <row r="1489" spans="1:4" x14ac:dyDescent="0.3">
      <c r="A1489">
        <v>368</v>
      </c>
      <c r="B1489">
        <v>10</v>
      </c>
      <c r="C1489">
        <v>1</v>
      </c>
      <c r="D1489">
        <v>46</v>
      </c>
    </row>
    <row r="1490" spans="1:4" x14ac:dyDescent="0.3">
      <c r="A1490">
        <v>429</v>
      </c>
      <c r="B1490">
        <v>30</v>
      </c>
      <c r="C1490">
        <v>2</v>
      </c>
      <c r="D1490">
        <v>55</v>
      </c>
    </row>
    <row r="1491" spans="1:4" x14ac:dyDescent="0.3">
      <c r="A1491">
        <v>830</v>
      </c>
      <c r="B1491">
        <v>18</v>
      </c>
      <c r="C1491">
        <v>2</v>
      </c>
      <c r="D1491">
        <v>51</v>
      </c>
    </row>
    <row r="1492" spans="1:4" x14ac:dyDescent="0.3">
      <c r="A1492">
        <v>807</v>
      </c>
      <c r="B1492">
        <v>24</v>
      </c>
      <c r="C1492">
        <v>1</v>
      </c>
      <c r="D1492">
        <v>24</v>
      </c>
    </row>
    <row r="1493" spans="1:4" x14ac:dyDescent="0.3">
      <c r="A1493">
        <v>480</v>
      </c>
      <c r="B1493">
        <v>9</v>
      </c>
      <c r="C1493">
        <v>2</v>
      </c>
      <c r="D1493">
        <v>42</v>
      </c>
    </row>
    <row r="1494" spans="1:4" x14ac:dyDescent="0.3">
      <c r="A1494">
        <v>314</v>
      </c>
      <c r="B1494">
        <v>31</v>
      </c>
      <c r="C1494">
        <v>4</v>
      </c>
      <c r="D1494">
        <v>89</v>
      </c>
    </row>
    <row r="1495" spans="1:4" x14ac:dyDescent="0.3">
      <c r="A1495">
        <v>500</v>
      </c>
      <c r="B1495">
        <v>15</v>
      </c>
      <c r="C1495">
        <v>2</v>
      </c>
      <c r="D1495">
        <v>20</v>
      </c>
    </row>
    <row r="1496" spans="1:4" x14ac:dyDescent="0.3">
      <c r="A1496">
        <v>721</v>
      </c>
      <c r="B1496">
        <v>4</v>
      </c>
      <c r="C1496">
        <v>5</v>
      </c>
      <c r="D1496">
        <v>29</v>
      </c>
    </row>
    <row r="1497" spans="1:4" x14ac:dyDescent="0.3">
      <c r="A1497">
        <v>355</v>
      </c>
      <c r="B1497">
        <v>40</v>
      </c>
      <c r="C1497">
        <v>4</v>
      </c>
      <c r="D1497">
        <v>111</v>
      </c>
    </row>
    <row r="1498" spans="1:4" x14ac:dyDescent="0.3">
      <c r="A1498">
        <v>485</v>
      </c>
      <c r="B1498">
        <v>9</v>
      </c>
      <c r="C1498">
        <v>3</v>
      </c>
      <c r="D1498">
        <v>33</v>
      </c>
    </row>
    <row r="1499" spans="1:4" x14ac:dyDescent="0.3">
      <c r="A1499">
        <v>211</v>
      </c>
      <c r="B1499">
        <v>45</v>
      </c>
      <c r="C1499">
        <v>2</v>
      </c>
      <c r="D1499">
        <v>73</v>
      </c>
    </row>
    <row r="1500" spans="1:4" x14ac:dyDescent="0.3">
      <c r="A1500">
        <v>704</v>
      </c>
      <c r="B1500">
        <v>9</v>
      </c>
      <c r="C1500">
        <v>2</v>
      </c>
      <c r="D1500">
        <v>89</v>
      </c>
    </row>
    <row r="1501" spans="1:4" x14ac:dyDescent="0.3">
      <c r="A1501">
        <v>44</v>
      </c>
      <c r="B1501">
        <v>26</v>
      </c>
      <c r="C1501">
        <v>5</v>
      </c>
      <c r="D1501">
        <v>103</v>
      </c>
    </row>
    <row r="1502" spans="1:4" x14ac:dyDescent="0.3">
      <c r="A1502">
        <v>541</v>
      </c>
      <c r="B1502">
        <v>4</v>
      </c>
      <c r="C1502">
        <v>5</v>
      </c>
      <c r="D1502">
        <v>107</v>
      </c>
    </row>
    <row r="1503" spans="1:4" x14ac:dyDescent="0.3">
      <c r="A1503">
        <v>571</v>
      </c>
      <c r="B1503">
        <v>17</v>
      </c>
      <c r="C1503">
        <v>1</v>
      </c>
      <c r="D1503">
        <v>74</v>
      </c>
    </row>
    <row r="1504" spans="1:4" x14ac:dyDescent="0.3">
      <c r="A1504">
        <v>583</v>
      </c>
      <c r="B1504">
        <v>16</v>
      </c>
      <c r="C1504">
        <v>1</v>
      </c>
      <c r="D1504">
        <v>97</v>
      </c>
    </row>
    <row r="1505" spans="1:4" x14ac:dyDescent="0.3">
      <c r="A1505">
        <v>92</v>
      </c>
      <c r="B1505">
        <v>15</v>
      </c>
      <c r="C1505">
        <v>1</v>
      </c>
      <c r="D1505">
        <v>97</v>
      </c>
    </row>
    <row r="1506" spans="1:4" x14ac:dyDescent="0.3">
      <c r="A1506">
        <v>265</v>
      </c>
      <c r="B1506">
        <v>35</v>
      </c>
      <c r="C1506">
        <v>5</v>
      </c>
      <c r="D1506">
        <v>82</v>
      </c>
    </row>
    <row r="1507" spans="1:4" x14ac:dyDescent="0.3">
      <c r="A1507">
        <v>895</v>
      </c>
      <c r="B1507">
        <v>5</v>
      </c>
      <c r="C1507">
        <v>1</v>
      </c>
      <c r="D1507">
        <v>95</v>
      </c>
    </row>
    <row r="1508" spans="1:4" x14ac:dyDescent="0.3">
      <c r="A1508">
        <v>220</v>
      </c>
      <c r="B1508">
        <v>5</v>
      </c>
      <c r="C1508">
        <v>1</v>
      </c>
      <c r="D1508">
        <v>85</v>
      </c>
    </row>
    <row r="1509" spans="1:4" x14ac:dyDescent="0.3">
      <c r="A1509">
        <v>902</v>
      </c>
      <c r="B1509">
        <v>20</v>
      </c>
      <c r="C1509">
        <v>3</v>
      </c>
      <c r="D1509">
        <v>26</v>
      </c>
    </row>
    <row r="1510" spans="1:4" x14ac:dyDescent="0.3">
      <c r="A1510">
        <v>925</v>
      </c>
      <c r="B1510">
        <v>15</v>
      </c>
      <c r="C1510">
        <v>1</v>
      </c>
      <c r="D1510">
        <v>98</v>
      </c>
    </row>
    <row r="1511" spans="1:4" x14ac:dyDescent="0.3">
      <c r="A1511">
        <v>442</v>
      </c>
      <c r="B1511">
        <v>18</v>
      </c>
      <c r="C1511">
        <v>2</v>
      </c>
      <c r="D1511">
        <v>101</v>
      </c>
    </row>
    <row r="1512" spans="1:4" x14ac:dyDescent="0.3">
      <c r="A1512">
        <v>401</v>
      </c>
      <c r="B1512">
        <v>47</v>
      </c>
      <c r="C1512">
        <v>5</v>
      </c>
      <c r="D1512">
        <v>70</v>
      </c>
    </row>
    <row r="1513" spans="1:4" x14ac:dyDescent="0.3">
      <c r="A1513">
        <v>400</v>
      </c>
      <c r="B1513">
        <v>2</v>
      </c>
      <c r="C1513">
        <v>4</v>
      </c>
      <c r="D1513">
        <v>24</v>
      </c>
    </row>
    <row r="1514" spans="1:4" x14ac:dyDescent="0.3">
      <c r="A1514">
        <v>727</v>
      </c>
      <c r="B1514">
        <v>29</v>
      </c>
      <c r="C1514">
        <v>3</v>
      </c>
      <c r="D1514">
        <v>103</v>
      </c>
    </row>
    <row r="1515" spans="1:4" x14ac:dyDescent="0.3">
      <c r="A1515">
        <v>991</v>
      </c>
      <c r="B1515">
        <v>13</v>
      </c>
      <c r="C1515">
        <v>5</v>
      </c>
      <c r="D1515">
        <v>60</v>
      </c>
    </row>
    <row r="1516" spans="1:4" x14ac:dyDescent="0.3">
      <c r="A1516">
        <v>899</v>
      </c>
      <c r="B1516">
        <v>4</v>
      </c>
      <c r="C1516">
        <v>5</v>
      </c>
      <c r="D1516">
        <v>36</v>
      </c>
    </row>
    <row r="1517" spans="1:4" x14ac:dyDescent="0.3">
      <c r="A1517">
        <v>789</v>
      </c>
      <c r="B1517">
        <v>42</v>
      </c>
      <c r="C1517">
        <v>2</v>
      </c>
      <c r="D1517">
        <v>95</v>
      </c>
    </row>
    <row r="1518" spans="1:4" x14ac:dyDescent="0.3">
      <c r="A1518">
        <v>576</v>
      </c>
      <c r="B1518">
        <v>45</v>
      </c>
      <c r="C1518">
        <v>1</v>
      </c>
      <c r="D1518">
        <v>83</v>
      </c>
    </row>
    <row r="1519" spans="1:4" x14ac:dyDescent="0.3">
      <c r="A1519">
        <v>858</v>
      </c>
      <c r="B1519">
        <v>10</v>
      </c>
      <c r="C1519">
        <v>2</v>
      </c>
      <c r="D1519">
        <v>70</v>
      </c>
    </row>
    <row r="1520" spans="1:4" x14ac:dyDescent="0.3">
      <c r="A1520">
        <v>804</v>
      </c>
      <c r="B1520">
        <v>31</v>
      </c>
      <c r="C1520">
        <v>1</v>
      </c>
      <c r="D1520">
        <v>67</v>
      </c>
    </row>
    <row r="1521" spans="1:4" x14ac:dyDescent="0.3">
      <c r="A1521">
        <v>490</v>
      </c>
      <c r="B1521">
        <v>41</v>
      </c>
      <c r="C1521">
        <v>1</v>
      </c>
      <c r="D1521">
        <v>40</v>
      </c>
    </row>
    <row r="1522" spans="1:4" x14ac:dyDescent="0.3">
      <c r="A1522">
        <v>485</v>
      </c>
      <c r="B1522">
        <v>8</v>
      </c>
      <c r="C1522">
        <v>5</v>
      </c>
      <c r="D1522">
        <v>100</v>
      </c>
    </row>
    <row r="1523" spans="1:4" x14ac:dyDescent="0.3">
      <c r="A1523">
        <v>757</v>
      </c>
      <c r="B1523">
        <v>3</v>
      </c>
      <c r="C1523">
        <v>1</v>
      </c>
      <c r="D1523">
        <v>21</v>
      </c>
    </row>
    <row r="1524" spans="1:4" x14ac:dyDescent="0.3">
      <c r="A1524">
        <v>470</v>
      </c>
      <c r="B1524">
        <v>48</v>
      </c>
      <c r="C1524">
        <v>3</v>
      </c>
      <c r="D1524">
        <v>55</v>
      </c>
    </row>
    <row r="1525" spans="1:4" x14ac:dyDescent="0.3">
      <c r="A1525">
        <v>574</v>
      </c>
      <c r="B1525">
        <v>46</v>
      </c>
      <c r="C1525">
        <v>3</v>
      </c>
      <c r="D1525">
        <v>40</v>
      </c>
    </row>
    <row r="1526" spans="1:4" x14ac:dyDescent="0.3">
      <c r="A1526">
        <v>938</v>
      </c>
      <c r="B1526">
        <v>9</v>
      </c>
      <c r="C1526">
        <v>3</v>
      </c>
      <c r="D1526">
        <v>41</v>
      </c>
    </row>
    <row r="1527" spans="1:4" x14ac:dyDescent="0.3">
      <c r="A1527">
        <v>844</v>
      </c>
      <c r="B1527">
        <v>30</v>
      </c>
      <c r="C1527">
        <v>5</v>
      </c>
      <c r="D1527">
        <v>41</v>
      </c>
    </row>
    <row r="1528" spans="1:4" x14ac:dyDescent="0.3">
      <c r="A1528">
        <v>682</v>
      </c>
      <c r="B1528">
        <v>11</v>
      </c>
      <c r="C1528">
        <v>2</v>
      </c>
      <c r="D1528">
        <v>114</v>
      </c>
    </row>
    <row r="1529" spans="1:4" x14ac:dyDescent="0.3">
      <c r="A1529">
        <v>445</v>
      </c>
      <c r="B1529">
        <v>35</v>
      </c>
      <c r="C1529">
        <v>4</v>
      </c>
      <c r="D1529">
        <v>118</v>
      </c>
    </row>
    <row r="1530" spans="1:4" x14ac:dyDescent="0.3">
      <c r="A1530">
        <v>269</v>
      </c>
      <c r="B1530">
        <v>37</v>
      </c>
      <c r="C1530">
        <v>1</v>
      </c>
      <c r="D1530">
        <v>108</v>
      </c>
    </row>
    <row r="1531" spans="1:4" x14ac:dyDescent="0.3">
      <c r="A1531">
        <v>267</v>
      </c>
      <c r="B1531">
        <v>42</v>
      </c>
      <c r="C1531">
        <v>4</v>
      </c>
      <c r="D1531">
        <v>62</v>
      </c>
    </row>
    <row r="1532" spans="1:4" x14ac:dyDescent="0.3">
      <c r="A1532">
        <v>54</v>
      </c>
      <c r="B1532">
        <v>13</v>
      </c>
      <c r="C1532">
        <v>2</v>
      </c>
      <c r="D1532">
        <v>70</v>
      </c>
    </row>
    <row r="1533" spans="1:4" x14ac:dyDescent="0.3">
      <c r="A1533">
        <v>528</v>
      </c>
      <c r="B1533">
        <v>36</v>
      </c>
      <c r="C1533">
        <v>2</v>
      </c>
      <c r="D1533">
        <v>55</v>
      </c>
    </row>
    <row r="1534" spans="1:4" x14ac:dyDescent="0.3">
      <c r="A1534">
        <v>520</v>
      </c>
      <c r="B1534">
        <v>13</v>
      </c>
      <c r="C1534">
        <v>5</v>
      </c>
      <c r="D1534">
        <v>94</v>
      </c>
    </row>
    <row r="1535" spans="1:4" x14ac:dyDescent="0.3">
      <c r="A1535">
        <v>616</v>
      </c>
      <c r="B1535">
        <v>12</v>
      </c>
      <c r="C1535">
        <v>3</v>
      </c>
      <c r="D1535">
        <v>83</v>
      </c>
    </row>
    <row r="1536" spans="1:4" x14ac:dyDescent="0.3">
      <c r="A1536">
        <v>59</v>
      </c>
      <c r="B1536">
        <v>37</v>
      </c>
      <c r="C1536">
        <v>3</v>
      </c>
      <c r="D1536">
        <v>89</v>
      </c>
    </row>
    <row r="1537" spans="1:4" x14ac:dyDescent="0.3">
      <c r="A1537">
        <v>825</v>
      </c>
      <c r="B1537">
        <v>10</v>
      </c>
      <c r="C1537">
        <v>2</v>
      </c>
      <c r="D1537">
        <v>16</v>
      </c>
    </row>
    <row r="1538" spans="1:4" x14ac:dyDescent="0.3">
      <c r="A1538">
        <v>40</v>
      </c>
      <c r="B1538">
        <v>9</v>
      </c>
      <c r="C1538">
        <v>5</v>
      </c>
      <c r="D1538">
        <v>13</v>
      </c>
    </row>
    <row r="1539" spans="1:4" x14ac:dyDescent="0.3">
      <c r="A1539">
        <v>237</v>
      </c>
      <c r="B1539">
        <v>7</v>
      </c>
      <c r="C1539">
        <v>5</v>
      </c>
      <c r="D1539">
        <v>100</v>
      </c>
    </row>
    <row r="1540" spans="1:4" x14ac:dyDescent="0.3">
      <c r="A1540">
        <v>955</v>
      </c>
      <c r="B1540">
        <v>2</v>
      </c>
      <c r="C1540">
        <v>1</v>
      </c>
      <c r="D1540">
        <v>61</v>
      </c>
    </row>
    <row r="1541" spans="1:4" x14ac:dyDescent="0.3">
      <c r="A1541">
        <v>386</v>
      </c>
      <c r="B1541">
        <v>23</v>
      </c>
      <c r="C1541">
        <v>3</v>
      </c>
      <c r="D1541">
        <v>98</v>
      </c>
    </row>
    <row r="1542" spans="1:4" x14ac:dyDescent="0.3">
      <c r="A1542">
        <v>606</v>
      </c>
      <c r="B1542">
        <v>39</v>
      </c>
      <c r="C1542">
        <v>2</v>
      </c>
      <c r="D1542">
        <v>40</v>
      </c>
    </row>
    <row r="1543" spans="1:4" x14ac:dyDescent="0.3">
      <c r="A1543">
        <v>734</v>
      </c>
      <c r="B1543">
        <v>40</v>
      </c>
      <c r="C1543">
        <v>4</v>
      </c>
      <c r="D1543">
        <v>84</v>
      </c>
    </row>
    <row r="1544" spans="1:4" x14ac:dyDescent="0.3">
      <c r="A1544">
        <v>716</v>
      </c>
      <c r="B1544">
        <v>39</v>
      </c>
      <c r="C1544">
        <v>3</v>
      </c>
      <c r="D1544">
        <v>93</v>
      </c>
    </row>
    <row r="1545" spans="1:4" x14ac:dyDescent="0.3">
      <c r="A1545">
        <v>650</v>
      </c>
      <c r="B1545">
        <v>21</v>
      </c>
      <c r="C1545">
        <v>1</v>
      </c>
      <c r="D1545">
        <v>45</v>
      </c>
    </row>
    <row r="1546" spans="1:4" x14ac:dyDescent="0.3">
      <c r="A1546">
        <v>300</v>
      </c>
      <c r="B1546">
        <v>23</v>
      </c>
      <c r="C1546">
        <v>5</v>
      </c>
      <c r="D1546">
        <v>63</v>
      </c>
    </row>
    <row r="1547" spans="1:4" x14ac:dyDescent="0.3">
      <c r="A1547">
        <v>395</v>
      </c>
      <c r="B1547">
        <v>29</v>
      </c>
      <c r="C1547">
        <v>2</v>
      </c>
      <c r="D1547">
        <v>63</v>
      </c>
    </row>
    <row r="1548" spans="1:4" x14ac:dyDescent="0.3">
      <c r="A1548">
        <v>207</v>
      </c>
      <c r="B1548">
        <v>14</v>
      </c>
      <c r="C1548">
        <v>3</v>
      </c>
      <c r="D1548">
        <v>26</v>
      </c>
    </row>
    <row r="1549" spans="1:4" x14ac:dyDescent="0.3">
      <c r="A1549">
        <v>336</v>
      </c>
      <c r="B1549">
        <v>26</v>
      </c>
      <c r="C1549">
        <v>4</v>
      </c>
      <c r="D1549">
        <v>118</v>
      </c>
    </row>
    <row r="1550" spans="1:4" x14ac:dyDescent="0.3">
      <c r="A1550">
        <v>593</v>
      </c>
      <c r="B1550">
        <v>5</v>
      </c>
      <c r="C1550">
        <v>1</v>
      </c>
      <c r="D1550">
        <v>84</v>
      </c>
    </row>
    <row r="1551" spans="1:4" x14ac:dyDescent="0.3">
      <c r="A1551">
        <v>730</v>
      </c>
      <c r="B1551">
        <v>31</v>
      </c>
      <c r="C1551">
        <v>1</v>
      </c>
      <c r="D1551">
        <v>39</v>
      </c>
    </row>
    <row r="1552" spans="1:4" x14ac:dyDescent="0.3">
      <c r="A1552">
        <v>514</v>
      </c>
      <c r="B1552">
        <v>25</v>
      </c>
      <c r="C1552">
        <v>3</v>
      </c>
      <c r="D1552">
        <v>108</v>
      </c>
    </row>
    <row r="1553" spans="1:4" x14ac:dyDescent="0.3">
      <c r="A1553">
        <v>178</v>
      </c>
      <c r="B1553">
        <v>31</v>
      </c>
      <c r="C1553">
        <v>4</v>
      </c>
      <c r="D1553">
        <v>114</v>
      </c>
    </row>
    <row r="1554" spans="1:4" x14ac:dyDescent="0.3">
      <c r="A1554">
        <v>396</v>
      </c>
      <c r="B1554">
        <v>50</v>
      </c>
      <c r="C1554">
        <v>1</v>
      </c>
      <c r="D1554">
        <v>111</v>
      </c>
    </row>
    <row r="1555" spans="1:4" x14ac:dyDescent="0.3">
      <c r="A1555">
        <v>371</v>
      </c>
      <c r="B1555">
        <v>20</v>
      </c>
      <c r="C1555">
        <v>2</v>
      </c>
      <c r="D1555">
        <v>31</v>
      </c>
    </row>
    <row r="1556" spans="1:4" x14ac:dyDescent="0.3">
      <c r="A1556">
        <v>858</v>
      </c>
      <c r="B1556">
        <v>44</v>
      </c>
      <c r="C1556">
        <v>1</v>
      </c>
      <c r="D1556">
        <v>52</v>
      </c>
    </row>
    <row r="1557" spans="1:4" x14ac:dyDescent="0.3">
      <c r="A1557">
        <v>791</v>
      </c>
      <c r="B1557">
        <v>17</v>
      </c>
      <c r="C1557">
        <v>4</v>
      </c>
      <c r="D1557">
        <v>36</v>
      </c>
    </row>
    <row r="1558" spans="1:4" x14ac:dyDescent="0.3">
      <c r="A1558">
        <v>658</v>
      </c>
      <c r="B1558">
        <v>45</v>
      </c>
      <c r="C1558">
        <v>5</v>
      </c>
      <c r="D1558">
        <v>46</v>
      </c>
    </row>
    <row r="1559" spans="1:4" x14ac:dyDescent="0.3">
      <c r="A1559">
        <v>318</v>
      </c>
      <c r="B1559">
        <v>2</v>
      </c>
      <c r="C1559">
        <v>5</v>
      </c>
      <c r="D1559">
        <v>55</v>
      </c>
    </row>
    <row r="1560" spans="1:4" x14ac:dyDescent="0.3">
      <c r="A1560">
        <v>736</v>
      </c>
      <c r="B1560">
        <v>25</v>
      </c>
      <c r="C1560">
        <v>3</v>
      </c>
      <c r="D1560">
        <v>44</v>
      </c>
    </row>
    <row r="1561" spans="1:4" x14ac:dyDescent="0.3">
      <c r="A1561">
        <v>369</v>
      </c>
      <c r="B1561">
        <v>13</v>
      </c>
      <c r="C1561">
        <v>4</v>
      </c>
      <c r="D1561">
        <v>13</v>
      </c>
    </row>
    <row r="1562" spans="1:4" x14ac:dyDescent="0.3">
      <c r="A1562">
        <v>384</v>
      </c>
      <c r="B1562">
        <v>39</v>
      </c>
      <c r="C1562">
        <v>1</v>
      </c>
      <c r="D1562">
        <v>89</v>
      </c>
    </row>
    <row r="1563" spans="1:4" x14ac:dyDescent="0.3">
      <c r="A1563">
        <v>62</v>
      </c>
      <c r="B1563">
        <v>28</v>
      </c>
      <c r="C1563">
        <v>1</v>
      </c>
      <c r="D1563">
        <v>89</v>
      </c>
    </row>
    <row r="1564" spans="1:4" x14ac:dyDescent="0.3">
      <c r="A1564">
        <v>806</v>
      </c>
      <c r="B1564">
        <v>42</v>
      </c>
      <c r="C1564">
        <v>5</v>
      </c>
      <c r="D1564">
        <v>94</v>
      </c>
    </row>
    <row r="1565" spans="1:4" x14ac:dyDescent="0.3">
      <c r="A1565">
        <v>505</v>
      </c>
      <c r="B1565">
        <v>6</v>
      </c>
      <c r="C1565">
        <v>5</v>
      </c>
      <c r="D1565">
        <v>35</v>
      </c>
    </row>
    <row r="1566" spans="1:4" x14ac:dyDescent="0.3">
      <c r="A1566">
        <v>239</v>
      </c>
      <c r="B1566">
        <v>3</v>
      </c>
      <c r="C1566">
        <v>2</v>
      </c>
      <c r="D1566">
        <v>109</v>
      </c>
    </row>
    <row r="1567" spans="1:4" x14ac:dyDescent="0.3">
      <c r="A1567">
        <v>195</v>
      </c>
      <c r="B1567">
        <v>35</v>
      </c>
      <c r="C1567">
        <v>5</v>
      </c>
      <c r="D1567">
        <v>28</v>
      </c>
    </row>
    <row r="1568" spans="1:4" x14ac:dyDescent="0.3">
      <c r="A1568">
        <v>678</v>
      </c>
      <c r="B1568">
        <v>18</v>
      </c>
      <c r="C1568">
        <v>2</v>
      </c>
      <c r="D1568">
        <v>90</v>
      </c>
    </row>
    <row r="1569" spans="1:4" x14ac:dyDescent="0.3">
      <c r="A1569">
        <v>963</v>
      </c>
      <c r="B1569">
        <v>11</v>
      </c>
      <c r="C1569">
        <v>1</v>
      </c>
      <c r="D1569">
        <v>54</v>
      </c>
    </row>
    <row r="1570" spans="1:4" x14ac:dyDescent="0.3">
      <c r="A1570">
        <v>222</v>
      </c>
      <c r="B1570">
        <v>20</v>
      </c>
      <c r="C1570">
        <v>2</v>
      </c>
      <c r="D1570">
        <v>35</v>
      </c>
    </row>
    <row r="1571" spans="1:4" x14ac:dyDescent="0.3">
      <c r="A1571">
        <v>61</v>
      </c>
      <c r="B1571">
        <v>5</v>
      </c>
      <c r="C1571">
        <v>2</v>
      </c>
      <c r="D1571">
        <v>31</v>
      </c>
    </row>
    <row r="1572" spans="1:4" x14ac:dyDescent="0.3">
      <c r="A1572">
        <v>129</v>
      </c>
      <c r="B1572">
        <v>19</v>
      </c>
      <c r="C1572">
        <v>3</v>
      </c>
      <c r="D1572">
        <v>67</v>
      </c>
    </row>
    <row r="1573" spans="1:4" x14ac:dyDescent="0.3">
      <c r="A1573">
        <v>990</v>
      </c>
      <c r="B1573">
        <v>22</v>
      </c>
      <c r="C1573">
        <v>5</v>
      </c>
      <c r="D1573">
        <v>72</v>
      </c>
    </row>
    <row r="1574" spans="1:4" x14ac:dyDescent="0.3">
      <c r="A1574">
        <v>685</v>
      </c>
      <c r="B1574">
        <v>19</v>
      </c>
      <c r="C1574">
        <v>2</v>
      </c>
      <c r="D1574">
        <v>37</v>
      </c>
    </row>
    <row r="1575" spans="1:4" x14ac:dyDescent="0.3">
      <c r="A1575">
        <v>992</v>
      </c>
      <c r="B1575">
        <v>47</v>
      </c>
      <c r="C1575">
        <v>1</v>
      </c>
      <c r="D1575">
        <v>74</v>
      </c>
    </row>
    <row r="1576" spans="1:4" x14ac:dyDescent="0.3">
      <c r="A1576">
        <v>156</v>
      </c>
      <c r="B1576">
        <v>16</v>
      </c>
      <c r="C1576">
        <v>4</v>
      </c>
      <c r="D1576">
        <v>53</v>
      </c>
    </row>
    <row r="1577" spans="1:4" x14ac:dyDescent="0.3">
      <c r="A1577">
        <v>917</v>
      </c>
      <c r="B1577">
        <v>24</v>
      </c>
      <c r="C1577">
        <v>2</v>
      </c>
      <c r="D1577">
        <v>109</v>
      </c>
    </row>
    <row r="1578" spans="1:4" x14ac:dyDescent="0.3">
      <c r="A1578">
        <v>378</v>
      </c>
      <c r="B1578">
        <v>41</v>
      </c>
      <c r="C1578">
        <v>5</v>
      </c>
      <c r="D1578">
        <v>52</v>
      </c>
    </row>
    <row r="1579" spans="1:4" x14ac:dyDescent="0.3">
      <c r="A1579">
        <v>622</v>
      </c>
      <c r="B1579">
        <v>4</v>
      </c>
      <c r="C1579">
        <v>3</v>
      </c>
      <c r="D1579">
        <v>46</v>
      </c>
    </row>
    <row r="1580" spans="1:4" x14ac:dyDescent="0.3">
      <c r="A1580">
        <v>781</v>
      </c>
      <c r="B1580">
        <v>15</v>
      </c>
      <c r="C1580">
        <v>1</v>
      </c>
      <c r="D1580">
        <v>75</v>
      </c>
    </row>
    <row r="1581" spans="1:4" x14ac:dyDescent="0.3">
      <c r="A1581">
        <v>923</v>
      </c>
      <c r="B1581">
        <v>25</v>
      </c>
      <c r="C1581">
        <v>3</v>
      </c>
      <c r="D1581">
        <v>26</v>
      </c>
    </row>
    <row r="1582" spans="1:4" x14ac:dyDescent="0.3">
      <c r="A1582">
        <v>868</v>
      </c>
      <c r="B1582">
        <v>44</v>
      </c>
      <c r="C1582">
        <v>4</v>
      </c>
      <c r="D1582">
        <v>49</v>
      </c>
    </row>
    <row r="1583" spans="1:4" x14ac:dyDescent="0.3">
      <c r="A1583">
        <v>903</v>
      </c>
      <c r="B1583">
        <v>35</v>
      </c>
      <c r="C1583">
        <v>2</v>
      </c>
      <c r="D1583">
        <v>47</v>
      </c>
    </row>
    <row r="1584" spans="1:4" x14ac:dyDescent="0.3">
      <c r="A1584">
        <v>790</v>
      </c>
      <c r="B1584">
        <v>14</v>
      </c>
      <c r="C1584">
        <v>2</v>
      </c>
      <c r="D1584">
        <v>94</v>
      </c>
    </row>
    <row r="1585" spans="1:4" x14ac:dyDescent="0.3">
      <c r="A1585">
        <v>586</v>
      </c>
      <c r="B1585">
        <v>49</v>
      </c>
      <c r="C1585">
        <v>5</v>
      </c>
      <c r="D1585">
        <v>70</v>
      </c>
    </row>
    <row r="1586" spans="1:4" x14ac:dyDescent="0.3">
      <c r="A1586">
        <v>999</v>
      </c>
      <c r="B1586">
        <v>19</v>
      </c>
      <c r="C1586">
        <v>2</v>
      </c>
      <c r="D1586">
        <v>18</v>
      </c>
    </row>
    <row r="1587" spans="1:4" x14ac:dyDescent="0.3">
      <c r="A1587">
        <v>437</v>
      </c>
      <c r="B1587">
        <v>38</v>
      </c>
      <c r="C1587">
        <v>1</v>
      </c>
      <c r="D1587">
        <v>86</v>
      </c>
    </row>
    <row r="1588" spans="1:4" x14ac:dyDescent="0.3">
      <c r="A1588">
        <v>975</v>
      </c>
      <c r="B1588">
        <v>36</v>
      </c>
      <c r="C1588">
        <v>4</v>
      </c>
      <c r="D1588">
        <v>84</v>
      </c>
    </row>
    <row r="1589" spans="1:4" x14ac:dyDescent="0.3">
      <c r="A1589">
        <v>207</v>
      </c>
      <c r="B1589">
        <v>7</v>
      </c>
      <c r="C1589">
        <v>3</v>
      </c>
      <c r="D1589">
        <v>70</v>
      </c>
    </row>
    <row r="1590" spans="1:4" x14ac:dyDescent="0.3">
      <c r="A1590">
        <v>388</v>
      </c>
      <c r="B1590">
        <v>30</v>
      </c>
      <c r="C1590">
        <v>4</v>
      </c>
      <c r="D1590">
        <v>89</v>
      </c>
    </row>
    <row r="1591" spans="1:4" x14ac:dyDescent="0.3">
      <c r="A1591">
        <v>480</v>
      </c>
      <c r="B1591">
        <v>19</v>
      </c>
      <c r="C1591">
        <v>2</v>
      </c>
      <c r="D1591">
        <v>25</v>
      </c>
    </row>
    <row r="1592" spans="1:4" x14ac:dyDescent="0.3">
      <c r="A1592">
        <v>791</v>
      </c>
      <c r="B1592">
        <v>49</v>
      </c>
      <c r="C1592">
        <v>3</v>
      </c>
      <c r="D1592">
        <v>11</v>
      </c>
    </row>
    <row r="1593" spans="1:4" x14ac:dyDescent="0.3">
      <c r="A1593">
        <v>887</v>
      </c>
      <c r="B1593">
        <v>25</v>
      </c>
      <c r="C1593">
        <v>5</v>
      </c>
      <c r="D1593">
        <v>115</v>
      </c>
    </row>
    <row r="1594" spans="1:4" x14ac:dyDescent="0.3">
      <c r="A1594">
        <v>838</v>
      </c>
      <c r="B1594">
        <v>16</v>
      </c>
      <c r="C1594">
        <v>4</v>
      </c>
      <c r="D1594">
        <v>117</v>
      </c>
    </row>
    <row r="1595" spans="1:4" x14ac:dyDescent="0.3">
      <c r="A1595">
        <v>984</v>
      </c>
      <c r="B1595">
        <v>47</v>
      </c>
      <c r="C1595">
        <v>3</v>
      </c>
      <c r="D1595">
        <v>81</v>
      </c>
    </row>
    <row r="1596" spans="1:4" x14ac:dyDescent="0.3">
      <c r="A1596">
        <v>340</v>
      </c>
      <c r="B1596">
        <v>40</v>
      </c>
      <c r="C1596">
        <v>3</v>
      </c>
      <c r="D1596">
        <v>52</v>
      </c>
    </row>
    <row r="1597" spans="1:4" x14ac:dyDescent="0.3">
      <c r="A1597">
        <v>869</v>
      </c>
      <c r="B1597">
        <v>8</v>
      </c>
      <c r="C1597">
        <v>3</v>
      </c>
      <c r="D1597">
        <v>51</v>
      </c>
    </row>
    <row r="1598" spans="1:4" x14ac:dyDescent="0.3">
      <c r="A1598">
        <v>340</v>
      </c>
      <c r="B1598">
        <v>18</v>
      </c>
      <c r="C1598">
        <v>1</v>
      </c>
      <c r="D1598">
        <v>86</v>
      </c>
    </row>
    <row r="1599" spans="1:4" x14ac:dyDescent="0.3">
      <c r="A1599">
        <v>204</v>
      </c>
      <c r="B1599">
        <v>28</v>
      </c>
      <c r="C1599">
        <v>4</v>
      </c>
      <c r="D1599">
        <v>66</v>
      </c>
    </row>
    <row r="1600" spans="1:4" x14ac:dyDescent="0.3">
      <c r="A1600">
        <v>161</v>
      </c>
      <c r="B1600">
        <v>16</v>
      </c>
      <c r="C1600">
        <v>3</v>
      </c>
      <c r="D1600">
        <v>90</v>
      </c>
    </row>
    <row r="1601" spans="1:4" x14ac:dyDescent="0.3">
      <c r="A1601">
        <v>540</v>
      </c>
      <c r="B1601">
        <v>19</v>
      </c>
      <c r="C1601">
        <v>4</v>
      </c>
      <c r="D1601">
        <v>112</v>
      </c>
    </row>
    <row r="1602" spans="1:4" x14ac:dyDescent="0.3">
      <c r="A1602">
        <v>392</v>
      </c>
      <c r="B1602">
        <v>42</v>
      </c>
      <c r="C1602">
        <v>3</v>
      </c>
      <c r="D1602">
        <v>97</v>
      </c>
    </row>
    <row r="1603" spans="1:4" x14ac:dyDescent="0.3">
      <c r="A1603">
        <v>769</v>
      </c>
      <c r="B1603">
        <v>17</v>
      </c>
      <c r="C1603">
        <v>5</v>
      </c>
      <c r="D1603">
        <v>76</v>
      </c>
    </row>
    <row r="1604" spans="1:4" x14ac:dyDescent="0.3">
      <c r="A1604">
        <v>677</v>
      </c>
      <c r="B1604">
        <v>45</v>
      </c>
      <c r="C1604">
        <v>5</v>
      </c>
      <c r="D1604">
        <v>39</v>
      </c>
    </row>
    <row r="1605" spans="1:4" x14ac:dyDescent="0.3">
      <c r="A1605">
        <v>575</v>
      </c>
      <c r="B1605">
        <v>13</v>
      </c>
      <c r="C1605">
        <v>5</v>
      </c>
      <c r="D1605">
        <v>22</v>
      </c>
    </row>
    <row r="1606" spans="1:4" x14ac:dyDescent="0.3">
      <c r="A1606">
        <v>534</v>
      </c>
      <c r="B1606">
        <v>7</v>
      </c>
      <c r="C1606">
        <v>2</v>
      </c>
      <c r="D1606">
        <v>28</v>
      </c>
    </row>
    <row r="1607" spans="1:4" x14ac:dyDescent="0.3">
      <c r="A1607">
        <v>70</v>
      </c>
      <c r="B1607">
        <v>27</v>
      </c>
      <c r="C1607">
        <v>3</v>
      </c>
      <c r="D1607">
        <v>16</v>
      </c>
    </row>
    <row r="1608" spans="1:4" x14ac:dyDescent="0.3">
      <c r="A1608">
        <v>893</v>
      </c>
      <c r="B1608">
        <v>10</v>
      </c>
      <c r="C1608">
        <v>2</v>
      </c>
      <c r="D1608">
        <v>18</v>
      </c>
    </row>
    <row r="1609" spans="1:4" x14ac:dyDescent="0.3">
      <c r="A1609">
        <v>405</v>
      </c>
      <c r="B1609">
        <v>34</v>
      </c>
      <c r="C1609">
        <v>4</v>
      </c>
      <c r="D1609">
        <v>92</v>
      </c>
    </row>
    <row r="1610" spans="1:4" x14ac:dyDescent="0.3">
      <c r="A1610">
        <v>608</v>
      </c>
      <c r="B1610">
        <v>36</v>
      </c>
      <c r="C1610">
        <v>2</v>
      </c>
      <c r="D1610">
        <v>118</v>
      </c>
    </row>
    <row r="1611" spans="1:4" x14ac:dyDescent="0.3">
      <c r="A1611">
        <v>675</v>
      </c>
      <c r="B1611">
        <v>25</v>
      </c>
      <c r="C1611">
        <v>4</v>
      </c>
      <c r="D1611">
        <v>63</v>
      </c>
    </row>
    <row r="1612" spans="1:4" x14ac:dyDescent="0.3">
      <c r="A1612">
        <v>591</v>
      </c>
      <c r="B1612">
        <v>6</v>
      </c>
      <c r="C1612">
        <v>4</v>
      </c>
      <c r="D1612">
        <v>113</v>
      </c>
    </row>
    <row r="1613" spans="1:4" x14ac:dyDescent="0.3">
      <c r="A1613">
        <v>517</v>
      </c>
      <c r="B1613">
        <v>24</v>
      </c>
      <c r="C1613">
        <v>4</v>
      </c>
      <c r="D1613">
        <v>95</v>
      </c>
    </row>
    <row r="1614" spans="1:4" x14ac:dyDescent="0.3">
      <c r="A1614">
        <v>828</v>
      </c>
      <c r="B1614">
        <v>18</v>
      </c>
      <c r="C1614">
        <v>2</v>
      </c>
      <c r="D1614">
        <v>91</v>
      </c>
    </row>
    <row r="1615" spans="1:4" x14ac:dyDescent="0.3">
      <c r="A1615">
        <v>120</v>
      </c>
      <c r="B1615">
        <v>23</v>
      </c>
      <c r="C1615">
        <v>3</v>
      </c>
      <c r="D1615">
        <v>70</v>
      </c>
    </row>
    <row r="1616" spans="1:4" x14ac:dyDescent="0.3">
      <c r="A1616">
        <v>814</v>
      </c>
      <c r="B1616">
        <v>6</v>
      </c>
      <c r="C1616">
        <v>2</v>
      </c>
      <c r="D1616">
        <v>96</v>
      </c>
    </row>
    <row r="1617" spans="1:4" x14ac:dyDescent="0.3">
      <c r="A1617">
        <v>690</v>
      </c>
      <c r="B1617">
        <v>29</v>
      </c>
      <c r="C1617">
        <v>3</v>
      </c>
      <c r="D1617">
        <v>11</v>
      </c>
    </row>
    <row r="1618" spans="1:4" x14ac:dyDescent="0.3">
      <c r="A1618">
        <v>688</v>
      </c>
      <c r="B1618">
        <v>25</v>
      </c>
      <c r="C1618">
        <v>3</v>
      </c>
      <c r="D1618">
        <v>59</v>
      </c>
    </row>
    <row r="1619" spans="1:4" x14ac:dyDescent="0.3">
      <c r="A1619">
        <v>902</v>
      </c>
      <c r="B1619">
        <v>17</v>
      </c>
      <c r="C1619">
        <v>4</v>
      </c>
      <c r="D1619">
        <v>84</v>
      </c>
    </row>
    <row r="1620" spans="1:4" x14ac:dyDescent="0.3">
      <c r="A1620">
        <v>217</v>
      </c>
      <c r="B1620">
        <v>46</v>
      </c>
      <c r="C1620">
        <v>2</v>
      </c>
      <c r="D1620">
        <v>40</v>
      </c>
    </row>
    <row r="1621" spans="1:4" x14ac:dyDescent="0.3">
      <c r="A1621">
        <v>56</v>
      </c>
      <c r="B1621">
        <v>24</v>
      </c>
      <c r="C1621">
        <v>3</v>
      </c>
      <c r="D1621">
        <v>42</v>
      </c>
    </row>
    <row r="1622" spans="1:4" x14ac:dyDescent="0.3">
      <c r="A1622">
        <v>366</v>
      </c>
      <c r="B1622">
        <v>11</v>
      </c>
      <c r="C1622">
        <v>5</v>
      </c>
      <c r="D1622">
        <v>87</v>
      </c>
    </row>
    <row r="1623" spans="1:4" x14ac:dyDescent="0.3">
      <c r="A1623">
        <v>699</v>
      </c>
      <c r="B1623">
        <v>26</v>
      </c>
      <c r="C1623">
        <v>3</v>
      </c>
      <c r="D1623">
        <v>89</v>
      </c>
    </row>
    <row r="1624" spans="1:4" x14ac:dyDescent="0.3">
      <c r="A1624">
        <v>504</v>
      </c>
      <c r="B1624">
        <v>34</v>
      </c>
      <c r="C1624">
        <v>5</v>
      </c>
      <c r="D1624">
        <v>20</v>
      </c>
    </row>
    <row r="1625" spans="1:4" x14ac:dyDescent="0.3">
      <c r="A1625">
        <v>744</v>
      </c>
      <c r="B1625">
        <v>28</v>
      </c>
      <c r="C1625">
        <v>2</v>
      </c>
      <c r="D1625">
        <v>42</v>
      </c>
    </row>
    <row r="1626" spans="1:4" x14ac:dyDescent="0.3">
      <c r="A1626">
        <v>767</v>
      </c>
      <c r="B1626">
        <v>3</v>
      </c>
      <c r="C1626">
        <v>2</v>
      </c>
      <c r="D1626">
        <v>16</v>
      </c>
    </row>
    <row r="1627" spans="1:4" x14ac:dyDescent="0.3">
      <c r="A1627">
        <v>925</v>
      </c>
      <c r="B1627">
        <v>11</v>
      </c>
      <c r="C1627">
        <v>2</v>
      </c>
      <c r="D1627">
        <v>40</v>
      </c>
    </row>
    <row r="1628" spans="1:4" x14ac:dyDescent="0.3">
      <c r="A1628">
        <v>455</v>
      </c>
      <c r="B1628">
        <v>38</v>
      </c>
      <c r="C1628">
        <v>3</v>
      </c>
      <c r="D1628">
        <v>57</v>
      </c>
    </row>
    <row r="1629" spans="1:4" x14ac:dyDescent="0.3">
      <c r="A1629">
        <v>104</v>
      </c>
      <c r="B1629">
        <v>14</v>
      </c>
      <c r="C1629">
        <v>1</v>
      </c>
      <c r="D1629">
        <v>119</v>
      </c>
    </row>
    <row r="1630" spans="1:4" x14ac:dyDescent="0.3">
      <c r="A1630">
        <v>77</v>
      </c>
      <c r="B1630">
        <v>26</v>
      </c>
      <c r="C1630">
        <v>3</v>
      </c>
      <c r="D1630">
        <v>56</v>
      </c>
    </row>
    <row r="1631" spans="1:4" x14ac:dyDescent="0.3">
      <c r="A1631">
        <v>230</v>
      </c>
      <c r="B1631">
        <v>48</v>
      </c>
      <c r="C1631">
        <v>3</v>
      </c>
      <c r="D1631">
        <v>87</v>
      </c>
    </row>
    <row r="1632" spans="1:4" x14ac:dyDescent="0.3">
      <c r="A1632">
        <v>914</v>
      </c>
      <c r="B1632">
        <v>21</v>
      </c>
      <c r="C1632">
        <v>4</v>
      </c>
      <c r="D1632">
        <v>101</v>
      </c>
    </row>
    <row r="1633" spans="1:4" x14ac:dyDescent="0.3">
      <c r="A1633">
        <v>258</v>
      </c>
      <c r="B1633">
        <v>39</v>
      </c>
      <c r="C1633">
        <v>4</v>
      </c>
      <c r="D1633">
        <v>62</v>
      </c>
    </row>
    <row r="1634" spans="1:4" x14ac:dyDescent="0.3">
      <c r="A1634">
        <v>264</v>
      </c>
      <c r="B1634">
        <v>30</v>
      </c>
      <c r="C1634">
        <v>3</v>
      </c>
      <c r="D1634">
        <v>116</v>
      </c>
    </row>
    <row r="1635" spans="1:4" x14ac:dyDescent="0.3">
      <c r="A1635">
        <v>331</v>
      </c>
      <c r="B1635">
        <v>8</v>
      </c>
      <c r="C1635">
        <v>5</v>
      </c>
      <c r="D1635">
        <v>89</v>
      </c>
    </row>
    <row r="1636" spans="1:4" x14ac:dyDescent="0.3">
      <c r="A1636">
        <v>993</v>
      </c>
      <c r="B1636">
        <v>20</v>
      </c>
      <c r="C1636">
        <v>4</v>
      </c>
      <c r="D1636">
        <v>28</v>
      </c>
    </row>
    <row r="1637" spans="1:4" x14ac:dyDescent="0.3">
      <c r="A1637">
        <v>182</v>
      </c>
      <c r="B1637">
        <v>48</v>
      </c>
      <c r="C1637">
        <v>3</v>
      </c>
      <c r="D1637">
        <v>90</v>
      </c>
    </row>
    <row r="1638" spans="1:4" x14ac:dyDescent="0.3">
      <c r="A1638">
        <v>893</v>
      </c>
      <c r="B1638">
        <v>32</v>
      </c>
      <c r="C1638">
        <v>1</v>
      </c>
      <c r="D1638">
        <v>99</v>
      </c>
    </row>
    <row r="1639" spans="1:4" x14ac:dyDescent="0.3">
      <c r="A1639">
        <v>768</v>
      </c>
      <c r="B1639">
        <v>22</v>
      </c>
      <c r="C1639">
        <v>5</v>
      </c>
      <c r="D1639">
        <v>15</v>
      </c>
    </row>
    <row r="1640" spans="1:4" x14ac:dyDescent="0.3">
      <c r="A1640">
        <v>550</v>
      </c>
      <c r="B1640">
        <v>7</v>
      </c>
      <c r="C1640">
        <v>2</v>
      </c>
      <c r="D1640">
        <v>116</v>
      </c>
    </row>
    <row r="1641" spans="1:4" x14ac:dyDescent="0.3">
      <c r="A1641">
        <v>688</v>
      </c>
      <c r="B1641">
        <v>9</v>
      </c>
      <c r="C1641">
        <v>3</v>
      </c>
      <c r="D1641">
        <v>58</v>
      </c>
    </row>
    <row r="1642" spans="1:4" x14ac:dyDescent="0.3">
      <c r="A1642">
        <v>27</v>
      </c>
      <c r="B1642">
        <v>45</v>
      </c>
      <c r="C1642">
        <v>3</v>
      </c>
      <c r="D1642">
        <v>82</v>
      </c>
    </row>
    <row r="1643" spans="1:4" x14ac:dyDescent="0.3">
      <c r="A1643">
        <v>276</v>
      </c>
      <c r="B1643">
        <v>1</v>
      </c>
      <c r="C1643">
        <v>5</v>
      </c>
      <c r="D1643">
        <v>59</v>
      </c>
    </row>
    <row r="1644" spans="1:4" x14ac:dyDescent="0.3">
      <c r="A1644">
        <v>652</v>
      </c>
      <c r="B1644">
        <v>29</v>
      </c>
      <c r="C1644">
        <v>4</v>
      </c>
      <c r="D1644">
        <v>90</v>
      </c>
    </row>
    <row r="1645" spans="1:4" x14ac:dyDescent="0.3">
      <c r="A1645">
        <v>299</v>
      </c>
      <c r="B1645">
        <v>8</v>
      </c>
      <c r="C1645">
        <v>4</v>
      </c>
      <c r="D1645">
        <v>104</v>
      </c>
    </row>
    <row r="1646" spans="1:4" x14ac:dyDescent="0.3">
      <c r="A1646">
        <v>957</v>
      </c>
      <c r="B1646">
        <v>4</v>
      </c>
      <c r="C1646">
        <v>4</v>
      </c>
      <c r="D1646">
        <v>21</v>
      </c>
    </row>
    <row r="1647" spans="1:4" x14ac:dyDescent="0.3">
      <c r="A1647">
        <v>799</v>
      </c>
      <c r="B1647">
        <v>35</v>
      </c>
      <c r="C1647">
        <v>2</v>
      </c>
      <c r="D1647">
        <v>32</v>
      </c>
    </row>
    <row r="1648" spans="1:4" x14ac:dyDescent="0.3">
      <c r="A1648">
        <v>91</v>
      </c>
      <c r="B1648">
        <v>3</v>
      </c>
      <c r="C1648">
        <v>5</v>
      </c>
      <c r="D1648">
        <v>63</v>
      </c>
    </row>
    <row r="1649" spans="1:4" x14ac:dyDescent="0.3">
      <c r="A1649">
        <v>480</v>
      </c>
      <c r="B1649">
        <v>45</v>
      </c>
      <c r="C1649">
        <v>5</v>
      </c>
      <c r="D1649">
        <v>78</v>
      </c>
    </row>
    <row r="1650" spans="1:4" x14ac:dyDescent="0.3">
      <c r="A1650">
        <v>573</v>
      </c>
      <c r="B1650">
        <v>40</v>
      </c>
      <c r="C1650">
        <v>4</v>
      </c>
      <c r="D1650">
        <v>116</v>
      </c>
    </row>
    <row r="1651" spans="1:4" x14ac:dyDescent="0.3">
      <c r="A1651">
        <v>458</v>
      </c>
      <c r="B1651">
        <v>7</v>
      </c>
      <c r="C1651">
        <v>4</v>
      </c>
      <c r="D1651">
        <v>109</v>
      </c>
    </row>
    <row r="1652" spans="1:4" x14ac:dyDescent="0.3">
      <c r="A1652">
        <v>451</v>
      </c>
      <c r="B1652">
        <v>27</v>
      </c>
      <c r="C1652">
        <v>1</v>
      </c>
      <c r="D1652">
        <v>68</v>
      </c>
    </row>
    <row r="1653" spans="1:4" x14ac:dyDescent="0.3">
      <c r="A1653">
        <v>365</v>
      </c>
      <c r="B1653">
        <v>1</v>
      </c>
      <c r="C1653">
        <v>1</v>
      </c>
      <c r="D1653">
        <v>45</v>
      </c>
    </row>
    <row r="1654" spans="1:4" x14ac:dyDescent="0.3">
      <c r="A1654">
        <v>859</v>
      </c>
      <c r="B1654">
        <v>27</v>
      </c>
      <c r="C1654">
        <v>3</v>
      </c>
      <c r="D1654">
        <v>12</v>
      </c>
    </row>
    <row r="1655" spans="1:4" x14ac:dyDescent="0.3">
      <c r="A1655">
        <v>675</v>
      </c>
      <c r="B1655">
        <v>16</v>
      </c>
      <c r="C1655">
        <v>3</v>
      </c>
      <c r="D1655">
        <v>67</v>
      </c>
    </row>
    <row r="1656" spans="1:4" x14ac:dyDescent="0.3">
      <c r="A1656">
        <v>351</v>
      </c>
      <c r="B1656">
        <v>38</v>
      </c>
      <c r="C1656">
        <v>5</v>
      </c>
      <c r="D1656">
        <v>97</v>
      </c>
    </row>
    <row r="1657" spans="1:4" x14ac:dyDescent="0.3">
      <c r="A1657">
        <v>655</v>
      </c>
      <c r="B1657">
        <v>7</v>
      </c>
      <c r="C1657">
        <v>5</v>
      </c>
      <c r="D1657">
        <v>64</v>
      </c>
    </row>
    <row r="1658" spans="1:4" x14ac:dyDescent="0.3">
      <c r="A1658">
        <v>400</v>
      </c>
      <c r="B1658">
        <v>44</v>
      </c>
      <c r="C1658">
        <v>2</v>
      </c>
      <c r="D1658">
        <v>66</v>
      </c>
    </row>
    <row r="1659" spans="1:4" x14ac:dyDescent="0.3">
      <c r="A1659">
        <v>253</v>
      </c>
      <c r="B1659">
        <v>23</v>
      </c>
      <c r="C1659">
        <v>2</v>
      </c>
      <c r="D1659">
        <v>26</v>
      </c>
    </row>
    <row r="1660" spans="1:4" x14ac:dyDescent="0.3">
      <c r="A1660">
        <v>781</v>
      </c>
      <c r="B1660">
        <v>41</v>
      </c>
      <c r="C1660">
        <v>1</v>
      </c>
      <c r="D1660">
        <v>48</v>
      </c>
    </row>
    <row r="1661" spans="1:4" x14ac:dyDescent="0.3">
      <c r="A1661">
        <v>881</v>
      </c>
      <c r="B1661">
        <v>11</v>
      </c>
      <c r="C1661">
        <v>3</v>
      </c>
      <c r="D1661">
        <v>99</v>
      </c>
    </row>
    <row r="1662" spans="1:4" x14ac:dyDescent="0.3">
      <c r="A1662">
        <v>803</v>
      </c>
      <c r="B1662">
        <v>42</v>
      </c>
      <c r="C1662">
        <v>1</v>
      </c>
      <c r="D1662">
        <v>77</v>
      </c>
    </row>
    <row r="1663" spans="1:4" x14ac:dyDescent="0.3">
      <c r="A1663">
        <v>459</v>
      </c>
      <c r="B1663">
        <v>33</v>
      </c>
      <c r="C1663">
        <v>1</v>
      </c>
      <c r="D1663">
        <v>64</v>
      </c>
    </row>
    <row r="1664" spans="1:4" x14ac:dyDescent="0.3">
      <c r="A1664">
        <v>699</v>
      </c>
      <c r="B1664">
        <v>50</v>
      </c>
      <c r="C1664">
        <v>3</v>
      </c>
      <c r="D1664">
        <v>54</v>
      </c>
    </row>
    <row r="1665" spans="1:4" x14ac:dyDescent="0.3">
      <c r="A1665">
        <v>917</v>
      </c>
      <c r="B1665">
        <v>36</v>
      </c>
      <c r="C1665">
        <v>2</v>
      </c>
      <c r="D1665">
        <v>85</v>
      </c>
    </row>
    <row r="1666" spans="1:4" x14ac:dyDescent="0.3">
      <c r="A1666">
        <v>499</v>
      </c>
      <c r="B1666">
        <v>37</v>
      </c>
      <c r="C1666">
        <v>3</v>
      </c>
      <c r="D1666">
        <v>10</v>
      </c>
    </row>
    <row r="1667" spans="1:4" x14ac:dyDescent="0.3">
      <c r="A1667">
        <v>950</v>
      </c>
      <c r="B1667">
        <v>41</v>
      </c>
      <c r="C1667">
        <v>4</v>
      </c>
      <c r="D1667">
        <v>30</v>
      </c>
    </row>
    <row r="1668" spans="1:4" x14ac:dyDescent="0.3">
      <c r="A1668">
        <v>971</v>
      </c>
      <c r="B1668">
        <v>17</v>
      </c>
      <c r="C1668">
        <v>4</v>
      </c>
      <c r="D1668">
        <v>92</v>
      </c>
    </row>
    <row r="1669" spans="1:4" x14ac:dyDescent="0.3">
      <c r="A1669">
        <v>926</v>
      </c>
      <c r="B1669">
        <v>35</v>
      </c>
      <c r="C1669">
        <v>4</v>
      </c>
      <c r="D1669">
        <v>30</v>
      </c>
    </row>
    <row r="1670" spans="1:4" x14ac:dyDescent="0.3">
      <c r="A1670">
        <v>508</v>
      </c>
      <c r="B1670">
        <v>48</v>
      </c>
      <c r="C1670">
        <v>5</v>
      </c>
      <c r="D1670">
        <v>61</v>
      </c>
    </row>
    <row r="1671" spans="1:4" x14ac:dyDescent="0.3">
      <c r="A1671">
        <v>304</v>
      </c>
      <c r="B1671">
        <v>5</v>
      </c>
      <c r="C1671">
        <v>2</v>
      </c>
      <c r="D1671">
        <v>91</v>
      </c>
    </row>
    <row r="1672" spans="1:4" x14ac:dyDescent="0.3">
      <c r="A1672">
        <v>501</v>
      </c>
      <c r="B1672">
        <v>48</v>
      </c>
      <c r="C1672">
        <v>2</v>
      </c>
      <c r="D1672">
        <v>52</v>
      </c>
    </row>
    <row r="1673" spans="1:4" x14ac:dyDescent="0.3">
      <c r="A1673">
        <v>803</v>
      </c>
      <c r="B1673">
        <v>32</v>
      </c>
      <c r="C1673">
        <v>5</v>
      </c>
      <c r="D1673">
        <v>61</v>
      </c>
    </row>
    <row r="1674" spans="1:4" x14ac:dyDescent="0.3">
      <c r="A1674">
        <v>598</v>
      </c>
      <c r="B1674">
        <v>3</v>
      </c>
      <c r="C1674">
        <v>1</v>
      </c>
      <c r="D1674">
        <v>76</v>
      </c>
    </row>
    <row r="1675" spans="1:4" x14ac:dyDescent="0.3">
      <c r="A1675">
        <v>166</v>
      </c>
      <c r="B1675">
        <v>47</v>
      </c>
      <c r="C1675">
        <v>4</v>
      </c>
      <c r="D1675">
        <v>53</v>
      </c>
    </row>
    <row r="1676" spans="1:4" x14ac:dyDescent="0.3">
      <c r="A1676">
        <v>415</v>
      </c>
      <c r="B1676">
        <v>35</v>
      </c>
      <c r="C1676">
        <v>4</v>
      </c>
      <c r="D1676">
        <v>41</v>
      </c>
    </row>
    <row r="1677" spans="1:4" x14ac:dyDescent="0.3">
      <c r="A1677">
        <v>462</v>
      </c>
      <c r="B1677">
        <v>14</v>
      </c>
      <c r="C1677">
        <v>1</v>
      </c>
      <c r="D1677">
        <v>19</v>
      </c>
    </row>
    <row r="1678" spans="1:4" x14ac:dyDescent="0.3">
      <c r="A1678">
        <v>920</v>
      </c>
      <c r="B1678">
        <v>48</v>
      </c>
      <c r="C1678">
        <v>3</v>
      </c>
      <c r="D1678">
        <v>73</v>
      </c>
    </row>
    <row r="1679" spans="1:4" x14ac:dyDescent="0.3">
      <c r="A1679">
        <v>114</v>
      </c>
      <c r="B1679">
        <v>31</v>
      </c>
      <c r="C1679">
        <v>3</v>
      </c>
      <c r="D1679">
        <v>113</v>
      </c>
    </row>
    <row r="1680" spans="1:4" x14ac:dyDescent="0.3">
      <c r="A1680">
        <v>433</v>
      </c>
      <c r="B1680">
        <v>31</v>
      </c>
      <c r="C1680">
        <v>2</v>
      </c>
      <c r="D1680">
        <v>88</v>
      </c>
    </row>
    <row r="1681" spans="1:4" x14ac:dyDescent="0.3">
      <c r="A1681">
        <v>992</v>
      </c>
      <c r="B1681">
        <v>17</v>
      </c>
      <c r="C1681">
        <v>5</v>
      </c>
      <c r="D1681">
        <v>78</v>
      </c>
    </row>
    <row r="1682" spans="1:4" x14ac:dyDescent="0.3">
      <c r="A1682">
        <v>356</v>
      </c>
      <c r="B1682">
        <v>24</v>
      </c>
      <c r="C1682">
        <v>2</v>
      </c>
      <c r="D1682">
        <v>77</v>
      </c>
    </row>
    <row r="1683" spans="1:4" x14ac:dyDescent="0.3">
      <c r="A1683">
        <v>928</v>
      </c>
      <c r="B1683">
        <v>23</v>
      </c>
      <c r="C1683">
        <v>3</v>
      </c>
      <c r="D1683">
        <v>37</v>
      </c>
    </row>
    <row r="1684" spans="1:4" x14ac:dyDescent="0.3">
      <c r="A1684">
        <v>695</v>
      </c>
      <c r="B1684">
        <v>18</v>
      </c>
      <c r="C1684">
        <v>1</v>
      </c>
      <c r="D1684">
        <v>62</v>
      </c>
    </row>
    <row r="1685" spans="1:4" x14ac:dyDescent="0.3">
      <c r="A1685">
        <v>207</v>
      </c>
      <c r="B1685">
        <v>50</v>
      </c>
      <c r="C1685">
        <v>2</v>
      </c>
      <c r="D1685">
        <v>60</v>
      </c>
    </row>
    <row r="1686" spans="1:4" x14ac:dyDescent="0.3">
      <c r="A1686">
        <v>768</v>
      </c>
      <c r="B1686">
        <v>14</v>
      </c>
      <c r="C1686">
        <v>4</v>
      </c>
      <c r="D1686">
        <v>62</v>
      </c>
    </row>
    <row r="1687" spans="1:4" x14ac:dyDescent="0.3">
      <c r="A1687">
        <v>235</v>
      </c>
      <c r="B1687">
        <v>50</v>
      </c>
      <c r="C1687">
        <v>4</v>
      </c>
      <c r="D1687">
        <v>13</v>
      </c>
    </row>
    <row r="1688" spans="1:4" x14ac:dyDescent="0.3">
      <c r="A1688">
        <v>442</v>
      </c>
      <c r="B1688">
        <v>15</v>
      </c>
      <c r="C1688">
        <v>1</v>
      </c>
      <c r="D1688">
        <v>88</v>
      </c>
    </row>
    <row r="1689" spans="1:4" x14ac:dyDescent="0.3">
      <c r="A1689">
        <v>355</v>
      </c>
      <c r="B1689">
        <v>15</v>
      </c>
      <c r="C1689">
        <v>3</v>
      </c>
      <c r="D1689">
        <v>26</v>
      </c>
    </row>
    <row r="1690" spans="1:4" x14ac:dyDescent="0.3">
      <c r="A1690">
        <v>515</v>
      </c>
      <c r="B1690">
        <v>6</v>
      </c>
      <c r="C1690">
        <v>4</v>
      </c>
      <c r="D1690">
        <v>117</v>
      </c>
    </row>
    <row r="1691" spans="1:4" x14ac:dyDescent="0.3">
      <c r="A1691">
        <v>208</v>
      </c>
      <c r="B1691">
        <v>27</v>
      </c>
      <c r="C1691">
        <v>4</v>
      </c>
      <c r="D1691">
        <v>76</v>
      </c>
    </row>
    <row r="1692" spans="1:4" x14ac:dyDescent="0.3">
      <c r="A1692">
        <v>709</v>
      </c>
      <c r="B1692">
        <v>15</v>
      </c>
      <c r="C1692">
        <v>5</v>
      </c>
      <c r="D1692">
        <v>83</v>
      </c>
    </row>
    <row r="1693" spans="1:4" x14ac:dyDescent="0.3">
      <c r="A1693">
        <v>853</v>
      </c>
      <c r="B1693">
        <v>50</v>
      </c>
      <c r="C1693">
        <v>2</v>
      </c>
      <c r="D1693">
        <v>56</v>
      </c>
    </row>
    <row r="1694" spans="1:4" x14ac:dyDescent="0.3">
      <c r="A1694">
        <v>125</v>
      </c>
      <c r="B1694">
        <v>36</v>
      </c>
      <c r="C1694">
        <v>3</v>
      </c>
      <c r="D1694">
        <v>115</v>
      </c>
    </row>
    <row r="1695" spans="1:4" x14ac:dyDescent="0.3">
      <c r="A1695">
        <v>138</v>
      </c>
      <c r="B1695">
        <v>8</v>
      </c>
      <c r="C1695">
        <v>2</v>
      </c>
      <c r="D1695">
        <v>65</v>
      </c>
    </row>
    <row r="1696" spans="1:4" x14ac:dyDescent="0.3">
      <c r="A1696">
        <v>339</v>
      </c>
      <c r="B1696">
        <v>15</v>
      </c>
      <c r="C1696">
        <v>3</v>
      </c>
      <c r="D1696">
        <v>32</v>
      </c>
    </row>
    <row r="1697" spans="1:4" x14ac:dyDescent="0.3">
      <c r="A1697">
        <v>537</v>
      </c>
      <c r="B1697">
        <v>3</v>
      </c>
      <c r="C1697">
        <v>4</v>
      </c>
      <c r="D1697">
        <v>27</v>
      </c>
    </row>
    <row r="1698" spans="1:4" x14ac:dyDescent="0.3">
      <c r="A1698">
        <v>68</v>
      </c>
      <c r="B1698">
        <v>47</v>
      </c>
      <c r="C1698">
        <v>5</v>
      </c>
      <c r="D1698">
        <v>10</v>
      </c>
    </row>
    <row r="1699" spans="1:4" x14ac:dyDescent="0.3">
      <c r="A1699">
        <v>573</v>
      </c>
      <c r="B1699">
        <v>13</v>
      </c>
      <c r="C1699">
        <v>2</v>
      </c>
      <c r="D1699">
        <v>44</v>
      </c>
    </row>
    <row r="1700" spans="1:4" x14ac:dyDescent="0.3">
      <c r="A1700">
        <v>541</v>
      </c>
      <c r="B1700">
        <v>41</v>
      </c>
      <c r="C1700">
        <v>4</v>
      </c>
      <c r="D1700">
        <v>73</v>
      </c>
    </row>
    <row r="1701" spans="1:4" x14ac:dyDescent="0.3">
      <c r="A1701">
        <v>383</v>
      </c>
      <c r="B1701">
        <v>34</v>
      </c>
      <c r="C1701">
        <v>3</v>
      </c>
      <c r="D1701">
        <v>67</v>
      </c>
    </row>
    <row r="1702" spans="1:4" x14ac:dyDescent="0.3">
      <c r="A1702">
        <v>19</v>
      </c>
      <c r="B1702">
        <v>24</v>
      </c>
      <c r="C1702">
        <v>2</v>
      </c>
      <c r="D1702">
        <v>104</v>
      </c>
    </row>
    <row r="1703" spans="1:4" x14ac:dyDescent="0.3">
      <c r="A1703">
        <v>683</v>
      </c>
      <c r="B1703">
        <v>40</v>
      </c>
      <c r="C1703">
        <v>2</v>
      </c>
      <c r="D1703">
        <v>68</v>
      </c>
    </row>
    <row r="1704" spans="1:4" x14ac:dyDescent="0.3">
      <c r="A1704">
        <v>450</v>
      </c>
      <c r="B1704">
        <v>32</v>
      </c>
      <c r="C1704">
        <v>4</v>
      </c>
      <c r="D1704">
        <v>117</v>
      </c>
    </row>
    <row r="1705" spans="1:4" x14ac:dyDescent="0.3">
      <c r="A1705">
        <v>74</v>
      </c>
      <c r="B1705">
        <v>32</v>
      </c>
      <c r="C1705">
        <v>2</v>
      </c>
      <c r="D1705">
        <v>10</v>
      </c>
    </row>
    <row r="1706" spans="1:4" x14ac:dyDescent="0.3">
      <c r="A1706">
        <v>573</v>
      </c>
      <c r="B1706">
        <v>30</v>
      </c>
      <c r="C1706">
        <v>5</v>
      </c>
      <c r="D1706">
        <v>12</v>
      </c>
    </row>
    <row r="1707" spans="1:4" x14ac:dyDescent="0.3">
      <c r="A1707">
        <v>939</v>
      </c>
      <c r="B1707">
        <v>49</v>
      </c>
      <c r="C1707">
        <v>5</v>
      </c>
      <c r="D1707">
        <v>76</v>
      </c>
    </row>
    <row r="1708" spans="1:4" x14ac:dyDescent="0.3">
      <c r="A1708">
        <v>665</v>
      </c>
      <c r="B1708">
        <v>13</v>
      </c>
      <c r="C1708">
        <v>4</v>
      </c>
      <c r="D1708">
        <v>46</v>
      </c>
    </row>
    <row r="1709" spans="1:4" x14ac:dyDescent="0.3">
      <c r="A1709">
        <v>276</v>
      </c>
      <c r="B1709">
        <v>1</v>
      </c>
      <c r="C1709">
        <v>3</v>
      </c>
      <c r="D1709">
        <v>92</v>
      </c>
    </row>
    <row r="1710" spans="1:4" x14ac:dyDescent="0.3">
      <c r="A1710">
        <v>48</v>
      </c>
      <c r="B1710">
        <v>34</v>
      </c>
      <c r="C1710">
        <v>4</v>
      </c>
      <c r="D1710">
        <v>38</v>
      </c>
    </row>
    <row r="1711" spans="1:4" x14ac:dyDescent="0.3">
      <c r="A1711">
        <v>211</v>
      </c>
      <c r="B1711">
        <v>15</v>
      </c>
      <c r="C1711">
        <v>5</v>
      </c>
      <c r="D1711">
        <v>98</v>
      </c>
    </row>
    <row r="1712" spans="1:4" x14ac:dyDescent="0.3">
      <c r="A1712">
        <v>855</v>
      </c>
      <c r="B1712">
        <v>44</v>
      </c>
      <c r="C1712">
        <v>1</v>
      </c>
      <c r="D1712">
        <v>42</v>
      </c>
    </row>
    <row r="1713" spans="1:4" x14ac:dyDescent="0.3">
      <c r="A1713">
        <v>920</v>
      </c>
      <c r="B1713">
        <v>14</v>
      </c>
      <c r="C1713">
        <v>1</v>
      </c>
      <c r="D1713">
        <v>109</v>
      </c>
    </row>
    <row r="1714" spans="1:4" x14ac:dyDescent="0.3">
      <c r="A1714">
        <v>651</v>
      </c>
      <c r="B1714">
        <v>29</v>
      </c>
      <c r="C1714">
        <v>2</v>
      </c>
      <c r="D1714">
        <v>70</v>
      </c>
    </row>
    <row r="1715" spans="1:4" x14ac:dyDescent="0.3">
      <c r="A1715">
        <v>622</v>
      </c>
      <c r="B1715">
        <v>34</v>
      </c>
      <c r="C1715">
        <v>2</v>
      </c>
      <c r="D1715">
        <v>102</v>
      </c>
    </row>
    <row r="1716" spans="1:4" x14ac:dyDescent="0.3">
      <c r="A1716">
        <v>994</v>
      </c>
      <c r="B1716">
        <v>18</v>
      </c>
      <c r="C1716">
        <v>1</v>
      </c>
      <c r="D1716">
        <v>99</v>
      </c>
    </row>
    <row r="1717" spans="1:4" x14ac:dyDescent="0.3">
      <c r="A1717">
        <v>695</v>
      </c>
      <c r="B1717">
        <v>7</v>
      </c>
      <c r="C1717">
        <v>5</v>
      </c>
      <c r="D1717">
        <v>13</v>
      </c>
    </row>
    <row r="1718" spans="1:4" x14ac:dyDescent="0.3">
      <c r="A1718">
        <v>540</v>
      </c>
      <c r="B1718">
        <v>29</v>
      </c>
      <c r="C1718">
        <v>2</v>
      </c>
      <c r="D1718">
        <v>23</v>
      </c>
    </row>
    <row r="1719" spans="1:4" x14ac:dyDescent="0.3">
      <c r="A1719">
        <v>709</v>
      </c>
      <c r="B1719">
        <v>31</v>
      </c>
      <c r="C1719">
        <v>4</v>
      </c>
      <c r="D1719">
        <v>100</v>
      </c>
    </row>
    <row r="1720" spans="1:4" x14ac:dyDescent="0.3">
      <c r="A1720">
        <v>191</v>
      </c>
      <c r="B1720">
        <v>25</v>
      </c>
      <c r="C1720">
        <v>4</v>
      </c>
      <c r="D1720">
        <v>42</v>
      </c>
    </row>
    <row r="1721" spans="1:4" x14ac:dyDescent="0.3">
      <c r="A1721">
        <v>315</v>
      </c>
      <c r="B1721">
        <v>38</v>
      </c>
      <c r="C1721">
        <v>5</v>
      </c>
      <c r="D1721">
        <v>31</v>
      </c>
    </row>
    <row r="1722" spans="1:4" x14ac:dyDescent="0.3">
      <c r="A1722">
        <v>901</v>
      </c>
      <c r="B1722">
        <v>14</v>
      </c>
      <c r="C1722">
        <v>2</v>
      </c>
      <c r="D1722">
        <v>57</v>
      </c>
    </row>
    <row r="1723" spans="1:4" x14ac:dyDescent="0.3">
      <c r="A1723">
        <v>563</v>
      </c>
      <c r="B1723">
        <v>8</v>
      </c>
      <c r="C1723">
        <v>4</v>
      </c>
      <c r="D1723">
        <v>12</v>
      </c>
    </row>
    <row r="1724" spans="1:4" x14ac:dyDescent="0.3">
      <c r="A1724">
        <v>661</v>
      </c>
      <c r="B1724">
        <v>27</v>
      </c>
      <c r="C1724">
        <v>2</v>
      </c>
      <c r="D1724">
        <v>96</v>
      </c>
    </row>
    <row r="1725" spans="1:4" x14ac:dyDescent="0.3">
      <c r="A1725">
        <v>780</v>
      </c>
      <c r="B1725">
        <v>2</v>
      </c>
      <c r="C1725">
        <v>2</v>
      </c>
      <c r="D1725">
        <v>94</v>
      </c>
    </row>
    <row r="1726" spans="1:4" x14ac:dyDescent="0.3">
      <c r="A1726">
        <v>562</v>
      </c>
      <c r="B1726">
        <v>17</v>
      </c>
      <c r="C1726">
        <v>4</v>
      </c>
      <c r="D1726">
        <v>114</v>
      </c>
    </row>
    <row r="1727" spans="1:4" x14ac:dyDescent="0.3">
      <c r="A1727">
        <v>900</v>
      </c>
      <c r="B1727">
        <v>37</v>
      </c>
      <c r="C1727">
        <v>1</v>
      </c>
      <c r="D1727">
        <v>32</v>
      </c>
    </row>
    <row r="1728" spans="1:4" x14ac:dyDescent="0.3">
      <c r="A1728">
        <v>758</v>
      </c>
      <c r="B1728">
        <v>14</v>
      </c>
      <c r="C1728">
        <v>4</v>
      </c>
      <c r="D1728">
        <v>77</v>
      </c>
    </row>
    <row r="1729" spans="1:4" x14ac:dyDescent="0.3">
      <c r="A1729">
        <v>113</v>
      </c>
      <c r="B1729">
        <v>25</v>
      </c>
      <c r="C1729">
        <v>5</v>
      </c>
      <c r="D1729">
        <v>30</v>
      </c>
    </row>
    <row r="1730" spans="1:4" x14ac:dyDescent="0.3">
      <c r="A1730">
        <v>170</v>
      </c>
      <c r="B1730">
        <v>30</v>
      </c>
      <c r="C1730">
        <v>3</v>
      </c>
      <c r="D1730">
        <v>110</v>
      </c>
    </row>
    <row r="1731" spans="1:4" x14ac:dyDescent="0.3">
      <c r="A1731">
        <v>468</v>
      </c>
      <c r="B1731">
        <v>29</v>
      </c>
      <c r="C1731">
        <v>4</v>
      </c>
      <c r="D1731">
        <v>52</v>
      </c>
    </row>
    <row r="1732" spans="1:4" x14ac:dyDescent="0.3">
      <c r="A1732">
        <v>678</v>
      </c>
      <c r="B1732">
        <v>20</v>
      </c>
      <c r="C1732">
        <v>2</v>
      </c>
      <c r="D1732">
        <v>104</v>
      </c>
    </row>
    <row r="1733" spans="1:4" x14ac:dyDescent="0.3">
      <c r="A1733">
        <v>921</v>
      </c>
      <c r="B1733">
        <v>21</v>
      </c>
      <c r="C1733">
        <v>2</v>
      </c>
      <c r="D1733">
        <v>94</v>
      </c>
    </row>
    <row r="1734" spans="1:4" x14ac:dyDescent="0.3">
      <c r="A1734">
        <v>14</v>
      </c>
      <c r="B1734">
        <v>22</v>
      </c>
      <c r="C1734">
        <v>4</v>
      </c>
      <c r="D1734">
        <v>35</v>
      </c>
    </row>
    <row r="1735" spans="1:4" x14ac:dyDescent="0.3">
      <c r="A1735">
        <v>715</v>
      </c>
      <c r="B1735">
        <v>35</v>
      </c>
      <c r="C1735">
        <v>3</v>
      </c>
      <c r="D1735">
        <v>50</v>
      </c>
    </row>
    <row r="1736" spans="1:4" x14ac:dyDescent="0.3">
      <c r="A1736">
        <v>288</v>
      </c>
      <c r="B1736">
        <v>37</v>
      </c>
      <c r="C1736">
        <v>4</v>
      </c>
      <c r="D1736">
        <v>108</v>
      </c>
    </row>
    <row r="1737" spans="1:4" x14ac:dyDescent="0.3">
      <c r="A1737">
        <v>907</v>
      </c>
      <c r="B1737">
        <v>16</v>
      </c>
      <c r="C1737">
        <v>3</v>
      </c>
      <c r="D1737">
        <v>47</v>
      </c>
    </row>
    <row r="1738" spans="1:4" x14ac:dyDescent="0.3">
      <c r="A1738">
        <v>189</v>
      </c>
      <c r="B1738">
        <v>50</v>
      </c>
      <c r="C1738">
        <v>3</v>
      </c>
      <c r="D1738">
        <v>97</v>
      </c>
    </row>
    <row r="1739" spans="1:4" x14ac:dyDescent="0.3">
      <c r="A1739">
        <v>914</v>
      </c>
      <c r="B1739">
        <v>49</v>
      </c>
      <c r="C1739">
        <v>5</v>
      </c>
      <c r="D1739">
        <v>20</v>
      </c>
    </row>
    <row r="1740" spans="1:4" x14ac:dyDescent="0.3">
      <c r="A1740">
        <v>155</v>
      </c>
      <c r="B1740">
        <v>43</v>
      </c>
      <c r="C1740">
        <v>2</v>
      </c>
      <c r="D1740">
        <v>114</v>
      </c>
    </row>
    <row r="1741" spans="1:4" x14ac:dyDescent="0.3">
      <c r="A1741">
        <v>567</v>
      </c>
      <c r="B1741">
        <v>17</v>
      </c>
      <c r="C1741">
        <v>2</v>
      </c>
      <c r="D1741">
        <v>38</v>
      </c>
    </row>
    <row r="1742" spans="1:4" x14ac:dyDescent="0.3">
      <c r="A1742">
        <v>694</v>
      </c>
      <c r="B1742">
        <v>16</v>
      </c>
      <c r="C1742">
        <v>3</v>
      </c>
      <c r="D1742">
        <v>69</v>
      </c>
    </row>
    <row r="1743" spans="1:4" x14ac:dyDescent="0.3">
      <c r="A1743">
        <v>722</v>
      </c>
      <c r="B1743">
        <v>2</v>
      </c>
      <c r="C1743">
        <v>2</v>
      </c>
      <c r="D1743">
        <v>76</v>
      </c>
    </row>
    <row r="1744" spans="1:4" x14ac:dyDescent="0.3">
      <c r="A1744">
        <v>888</v>
      </c>
      <c r="B1744">
        <v>4</v>
      </c>
      <c r="C1744">
        <v>1</v>
      </c>
      <c r="D1744">
        <v>74</v>
      </c>
    </row>
    <row r="1745" spans="1:4" x14ac:dyDescent="0.3">
      <c r="A1745">
        <v>471</v>
      </c>
      <c r="B1745">
        <v>21</v>
      </c>
      <c r="C1745">
        <v>3</v>
      </c>
      <c r="D1745">
        <v>70</v>
      </c>
    </row>
    <row r="1746" spans="1:4" x14ac:dyDescent="0.3">
      <c r="A1746">
        <v>75</v>
      </c>
      <c r="B1746">
        <v>39</v>
      </c>
      <c r="C1746">
        <v>2</v>
      </c>
      <c r="D1746">
        <v>28</v>
      </c>
    </row>
    <row r="1747" spans="1:4" x14ac:dyDescent="0.3">
      <c r="A1747">
        <v>277</v>
      </c>
      <c r="B1747">
        <v>34</v>
      </c>
      <c r="C1747">
        <v>1</v>
      </c>
      <c r="D1747">
        <v>55</v>
      </c>
    </row>
    <row r="1748" spans="1:4" x14ac:dyDescent="0.3">
      <c r="A1748">
        <v>940</v>
      </c>
      <c r="B1748">
        <v>30</v>
      </c>
      <c r="C1748">
        <v>5</v>
      </c>
      <c r="D1748">
        <v>58</v>
      </c>
    </row>
    <row r="1749" spans="1:4" x14ac:dyDescent="0.3">
      <c r="A1749">
        <v>645</v>
      </c>
      <c r="B1749">
        <v>6</v>
      </c>
      <c r="C1749">
        <v>2</v>
      </c>
      <c r="D1749">
        <v>31</v>
      </c>
    </row>
    <row r="1750" spans="1:4" x14ac:dyDescent="0.3">
      <c r="A1750">
        <v>343</v>
      </c>
      <c r="B1750">
        <v>17</v>
      </c>
      <c r="C1750">
        <v>1</v>
      </c>
      <c r="D1750">
        <v>87</v>
      </c>
    </row>
    <row r="1751" spans="1:4" x14ac:dyDescent="0.3">
      <c r="A1751">
        <v>425</v>
      </c>
      <c r="B1751">
        <v>39</v>
      </c>
      <c r="C1751">
        <v>4</v>
      </c>
      <c r="D1751">
        <v>66</v>
      </c>
    </row>
    <row r="1752" spans="1:4" x14ac:dyDescent="0.3">
      <c r="A1752">
        <v>571</v>
      </c>
      <c r="B1752">
        <v>25</v>
      </c>
      <c r="C1752">
        <v>4</v>
      </c>
      <c r="D1752">
        <v>23</v>
      </c>
    </row>
    <row r="1753" spans="1:4" x14ac:dyDescent="0.3">
      <c r="A1753">
        <v>511</v>
      </c>
      <c r="B1753">
        <v>5</v>
      </c>
      <c r="C1753">
        <v>1</v>
      </c>
      <c r="D1753">
        <v>53</v>
      </c>
    </row>
    <row r="1754" spans="1:4" x14ac:dyDescent="0.3">
      <c r="A1754">
        <v>857</v>
      </c>
      <c r="B1754">
        <v>5</v>
      </c>
      <c r="C1754">
        <v>3</v>
      </c>
      <c r="D1754">
        <v>25</v>
      </c>
    </row>
    <row r="1755" spans="1:4" x14ac:dyDescent="0.3">
      <c r="A1755">
        <v>182</v>
      </c>
      <c r="B1755">
        <v>20</v>
      </c>
      <c r="C1755">
        <v>3</v>
      </c>
      <c r="D1755">
        <v>106</v>
      </c>
    </row>
    <row r="1756" spans="1:4" x14ac:dyDescent="0.3">
      <c r="A1756">
        <v>458</v>
      </c>
      <c r="B1756">
        <v>16</v>
      </c>
      <c r="C1756">
        <v>2</v>
      </c>
      <c r="D1756">
        <v>86</v>
      </c>
    </row>
    <row r="1757" spans="1:4" x14ac:dyDescent="0.3">
      <c r="A1757">
        <v>918</v>
      </c>
      <c r="B1757">
        <v>41</v>
      </c>
      <c r="C1757">
        <v>4</v>
      </c>
      <c r="D1757">
        <v>111</v>
      </c>
    </row>
    <row r="1758" spans="1:4" x14ac:dyDescent="0.3">
      <c r="A1758">
        <v>851</v>
      </c>
      <c r="B1758">
        <v>37</v>
      </c>
      <c r="C1758">
        <v>3</v>
      </c>
      <c r="D1758">
        <v>21</v>
      </c>
    </row>
    <row r="1759" spans="1:4" x14ac:dyDescent="0.3">
      <c r="A1759">
        <v>833</v>
      </c>
      <c r="B1759">
        <v>40</v>
      </c>
      <c r="C1759">
        <v>3</v>
      </c>
      <c r="D1759">
        <v>64</v>
      </c>
    </row>
    <row r="1760" spans="1:4" x14ac:dyDescent="0.3">
      <c r="A1760">
        <v>64</v>
      </c>
      <c r="B1760">
        <v>9</v>
      </c>
      <c r="C1760">
        <v>4</v>
      </c>
      <c r="D1760">
        <v>60</v>
      </c>
    </row>
    <row r="1761" spans="1:4" x14ac:dyDescent="0.3">
      <c r="A1761">
        <v>839</v>
      </c>
      <c r="B1761">
        <v>5</v>
      </c>
      <c r="C1761">
        <v>5</v>
      </c>
      <c r="D1761">
        <v>111</v>
      </c>
    </row>
    <row r="1762" spans="1:4" x14ac:dyDescent="0.3">
      <c r="A1762">
        <v>260</v>
      </c>
      <c r="B1762">
        <v>42</v>
      </c>
      <c r="C1762">
        <v>3</v>
      </c>
      <c r="D1762">
        <v>48</v>
      </c>
    </row>
    <row r="1763" spans="1:4" x14ac:dyDescent="0.3">
      <c r="A1763">
        <v>193</v>
      </c>
      <c r="B1763">
        <v>2</v>
      </c>
      <c r="C1763">
        <v>1</v>
      </c>
      <c r="D1763">
        <v>42</v>
      </c>
    </row>
    <row r="1764" spans="1:4" x14ac:dyDescent="0.3">
      <c r="A1764">
        <v>655</v>
      </c>
      <c r="B1764">
        <v>9</v>
      </c>
      <c r="C1764">
        <v>2</v>
      </c>
      <c r="D1764">
        <v>42</v>
      </c>
    </row>
    <row r="1765" spans="1:4" x14ac:dyDescent="0.3">
      <c r="A1765">
        <v>616</v>
      </c>
      <c r="B1765">
        <v>43</v>
      </c>
      <c r="C1765">
        <v>3</v>
      </c>
      <c r="D1765">
        <v>38</v>
      </c>
    </row>
    <row r="1766" spans="1:4" x14ac:dyDescent="0.3">
      <c r="A1766">
        <v>972</v>
      </c>
      <c r="B1766">
        <v>36</v>
      </c>
      <c r="C1766">
        <v>3</v>
      </c>
      <c r="D1766">
        <v>78</v>
      </c>
    </row>
    <row r="1767" spans="1:4" x14ac:dyDescent="0.3">
      <c r="A1767">
        <v>406</v>
      </c>
      <c r="B1767">
        <v>22</v>
      </c>
      <c r="C1767">
        <v>5</v>
      </c>
      <c r="D1767">
        <v>79</v>
      </c>
    </row>
    <row r="1768" spans="1:4" x14ac:dyDescent="0.3">
      <c r="A1768">
        <v>726</v>
      </c>
      <c r="B1768">
        <v>22</v>
      </c>
      <c r="C1768">
        <v>1</v>
      </c>
      <c r="D1768">
        <v>40</v>
      </c>
    </row>
    <row r="1769" spans="1:4" x14ac:dyDescent="0.3">
      <c r="A1769">
        <v>754</v>
      </c>
      <c r="B1769">
        <v>22</v>
      </c>
      <c r="C1769">
        <v>2</v>
      </c>
      <c r="D1769">
        <v>89</v>
      </c>
    </row>
    <row r="1770" spans="1:4" x14ac:dyDescent="0.3">
      <c r="A1770">
        <v>943</v>
      </c>
      <c r="B1770">
        <v>34</v>
      </c>
      <c r="C1770">
        <v>3</v>
      </c>
      <c r="D1770">
        <v>40</v>
      </c>
    </row>
    <row r="1771" spans="1:4" x14ac:dyDescent="0.3">
      <c r="A1771">
        <v>721</v>
      </c>
      <c r="B1771">
        <v>29</v>
      </c>
      <c r="C1771">
        <v>2</v>
      </c>
      <c r="D1771">
        <v>98</v>
      </c>
    </row>
    <row r="1772" spans="1:4" x14ac:dyDescent="0.3">
      <c r="A1772">
        <v>93</v>
      </c>
      <c r="B1772">
        <v>38</v>
      </c>
      <c r="C1772">
        <v>4</v>
      </c>
      <c r="D1772">
        <v>55</v>
      </c>
    </row>
    <row r="1773" spans="1:4" x14ac:dyDescent="0.3">
      <c r="A1773">
        <v>430</v>
      </c>
      <c r="B1773">
        <v>46</v>
      </c>
      <c r="C1773">
        <v>3</v>
      </c>
      <c r="D1773">
        <v>106</v>
      </c>
    </row>
    <row r="1774" spans="1:4" x14ac:dyDescent="0.3">
      <c r="A1774">
        <v>654</v>
      </c>
      <c r="B1774">
        <v>33</v>
      </c>
      <c r="C1774">
        <v>3</v>
      </c>
      <c r="D1774">
        <v>86</v>
      </c>
    </row>
    <row r="1775" spans="1:4" x14ac:dyDescent="0.3">
      <c r="A1775">
        <v>434</v>
      </c>
      <c r="B1775">
        <v>18</v>
      </c>
      <c r="C1775">
        <v>4</v>
      </c>
      <c r="D1775">
        <v>61</v>
      </c>
    </row>
    <row r="1776" spans="1:4" x14ac:dyDescent="0.3">
      <c r="A1776">
        <v>404</v>
      </c>
      <c r="B1776">
        <v>7</v>
      </c>
      <c r="C1776">
        <v>5</v>
      </c>
      <c r="D1776">
        <v>19</v>
      </c>
    </row>
    <row r="1777" spans="1:4" x14ac:dyDescent="0.3">
      <c r="A1777">
        <v>434</v>
      </c>
      <c r="B1777">
        <v>1</v>
      </c>
      <c r="C1777">
        <v>3</v>
      </c>
      <c r="D1777">
        <v>97</v>
      </c>
    </row>
    <row r="1778" spans="1:4" x14ac:dyDescent="0.3">
      <c r="A1778">
        <v>112</v>
      </c>
      <c r="B1778">
        <v>33</v>
      </c>
      <c r="C1778">
        <v>2</v>
      </c>
      <c r="D1778">
        <v>83</v>
      </c>
    </row>
    <row r="1779" spans="1:4" x14ac:dyDescent="0.3">
      <c r="A1779">
        <v>929</v>
      </c>
      <c r="B1779">
        <v>1</v>
      </c>
      <c r="C1779">
        <v>1</v>
      </c>
      <c r="D1779">
        <v>50</v>
      </c>
    </row>
    <row r="1780" spans="1:4" x14ac:dyDescent="0.3">
      <c r="A1780">
        <v>375</v>
      </c>
      <c r="B1780">
        <v>24</v>
      </c>
      <c r="C1780">
        <v>2</v>
      </c>
      <c r="D1780">
        <v>104</v>
      </c>
    </row>
    <row r="1781" spans="1:4" x14ac:dyDescent="0.3">
      <c r="A1781">
        <v>59</v>
      </c>
      <c r="B1781">
        <v>4</v>
      </c>
      <c r="C1781">
        <v>5</v>
      </c>
      <c r="D1781">
        <v>86</v>
      </c>
    </row>
    <row r="1782" spans="1:4" x14ac:dyDescent="0.3">
      <c r="A1782">
        <v>43</v>
      </c>
      <c r="B1782">
        <v>4</v>
      </c>
      <c r="C1782">
        <v>1</v>
      </c>
      <c r="D1782">
        <v>12</v>
      </c>
    </row>
    <row r="1783" spans="1:4" x14ac:dyDescent="0.3">
      <c r="A1783">
        <v>207</v>
      </c>
      <c r="B1783">
        <v>18</v>
      </c>
      <c r="C1783">
        <v>2</v>
      </c>
      <c r="D1783">
        <v>68</v>
      </c>
    </row>
    <row r="1784" spans="1:4" x14ac:dyDescent="0.3">
      <c r="A1784">
        <v>780</v>
      </c>
      <c r="B1784">
        <v>27</v>
      </c>
      <c r="C1784">
        <v>2</v>
      </c>
      <c r="D1784">
        <v>61</v>
      </c>
    </row>
    <row r="1785" spans="1:4" x14ac:dyDescent="0.3">
      <c r="A1785">
        <v>296</v>
      </c>
      <c r="B1785">
        <v>43</v>
      </c>
      <c r="C1785">
        <v>4</v>
      </c>
      <c r="D1785">
        <v>43</v>
      </c>
    </row>
    <row r="1786" spans="1:4" x14ac:dyDescent="0.3">
      <c r="A1786">
        <v>118</v>
      </c>
      <c r="B1786">
        <v>32</v>
      </c>
      <c r="C1786">
        <v>5</v>
      </c>
      <c r="D1786">
        <v>58</v>
      </c>
    </row>
    <row r="1787" spans="1:4" x14ac:dyDescent="0.3">
      <c r="A1787">
        <v>532</v>
      </c>
      <c r="B1787">
        <v>33</v>
      </c>
      <c r="C1787">
        <v>4</v>
      </c>
      <c r="D1787">
        <v>37</v>
      </c>
    </row>
    <row r="1788" spans="1:4" x14ac:dyDescent="0.3">
      <c r="A1788">
        <v>222</v>
      </c>
      <c r="B1788">
        <v>28</v>
      </c>
      <c r="C1788">
        <v>1</v>
      </c>
      <c r="D1788">
        <v>92</v>
      </c>
    </row>
    <row r="1789" spans="1:4" x14ac:dyDescent="0.3">
      <c r="A1789">
        <v>166</v>
      </c>
      <c r="B1789">
        <v>42</v>
      </c>
      <c r="C1789">
        <v>4</v>
      </c>
      <c r="D1789">
        <v>96</v>
      </c>
    </row>
    <row r="1790" spans="1:4" x14ac:dyDescent="0.3">
      <c r="A1790">
        <v>643</v>
      </c>
      <c r="B1790">
        <v>41</v>
      </c>
      <c r="C1790">
        <v>5</v>
      </c>
      <c r="D1790">
        <v>118</v>
      </c>
    </row>
    <row r="1791" spans="1:4" x14ac:dyDescent="0.3">
      <c r="A1791">
        <v>156</v>
      </c>
      <c r="B1791">
        <v>36</v>
      </c>
      <c r="C1791">
        <v>3</v>
      </c>
      <c r="D1791">
        <v>105</v>
      </c>
    </row>
    <row r="1792" spans="1:4" x14ac:dyDescent="0.3">
      <c r="A1792">
        <v>184</v>
      </c>
      <c r="B1792">
        <v>6</v>
      </c>
      <c r="C1792">
        <v>3</v>
      </c>
      <c r="D1792">
        <v>22</v>
      </c>
    </row>
    <row r="1793" spans="1:4" x14ac:dyDescent="0.3">
      <c r="A1793">
        <v>90</v>
      </c>
      <c r="B1793">
        <v>16</v>
      </c>
      <c r="C1793">
        <v>1</v>
      </c>
      <c r="D1793">
        <v>106</v>
      </c>
    </row>
    <row r="1794" spans="1:4" x14ac:dyDescent="0.3">
      <c r="A1794">
        <v>94</v>
      </c>
      <c r="B1794">
        <v>34</v>
      </c>
      <c r="C1794">
        <v>3</v>
      </c>
      <c r="D1794">
        <v>107</v>
      </c>
    </row>
    <row r="1795" spans="1:4" x14ac:dyDescent="0.3">
      <c r="A1795">
        <v>13</v>
      </c>
      <c r="B1795">
        <v>23</v>
      </c>
      <c r="C1795">
        <v>4</v>
      </c>
      <c r="D1795">
        <v>106</v>
      </c>
    </row>
    <row r="1796" spans="1:4" x14ac:dyDescent="0.3">
      <c r="A1796">
        <v>973</v>
      </c>
      <c r="B1796">
        <v>50</v>
      </c>
      <c r="C1796">
        <v>1</v>
      </c>
      <c r="D1796">
        <v>78</v>
      </c>
    </row>
    <row r="1797" spans="1:4" x14ac:dyDescent="0.3">
      <c r="A1797">
        <v>834</v>
      </c>
      <c r="B1797">
        <v>42</v>
      </c>
      <c r="C1797">
        <v>5</v>
      </c>
      <c r="D1797">
        <v>76</v>
      </c>
    </row>
    <row r="1798" spans="1:4" x14ac:dyDescent="0.3">
      <c r="A1798">
        <v>805</v>
      </c>
      <c r="B1798">
        <v>24</v>
      </c>
      <c r="C1798">
        <v>1</v>
      </c>
      <c r="D1798">
        <v>70</v>
      </c>
    </row>
    <row r="1799" spans="1:4" x14ac:dyDescent="0.3">
      <c r="A1799">
        <v>945</v>
      </c>
      <c r="B1799">
        <v>49</v>
      </c>
      <c r="C1799">
        <v>1</v>
      </c>
      <c r="D1799">
        <v>69</v>
      </c>
    </row>
    <row r="1800" spans="1:4" x14ac:dyDescent="0.3">
      <c r="A1800">
        <v>742</v>
      </c>
      <c r="B1800">
        <v>13</v>
      </c>
      <c r="C1800">
        <v>2</v>
      </c>
      <c r="D1800">
        <v>80</v>
      </c>
    </row>
    <row r="1801" spans="1:4" x14ac:dyDescent="0.3">
      <c r="A1801">
        <v>834</v>
      </c>
      <c r="B1801">
        <v>18</v>
      </c>
      <c r="C1801">
        <v>2</v>
      </c>
      <c r="D1801">
        <v>33</v>
      </c>
    </row>
    <row r="1802" spans="1:4" x14ac:dyDescent="0.3">
      <c r="A1802">
        <v>804</v>
      </c>
      <c r="B1802">
        <v>13</v>
      </c>
      <c r="C1802">
        <v>1</v>
      </c>
      <c r="D1802">
        <v>72</v>
      </c>
    </row>
    <row r="1803" spans="1:4" x14ac:dyDescent="0.3">
      <c r="A1803">
        <v>438</v>
      </c>
      <c r="B1803">
        <v>49</v>
      </c>
      <c r="C1803">
        <v>3</v>
      </c>
      <c r="D1803">
        <v>95</v>
      </c>
    </row>
    <row r="1804" spans="1:4" x14ac:dyDescent="0.3">
      <c r="A1804">
        <v>538</v>
      </c>
      <c r="B1804">
        <v>37</v>
      </c>
      <c r="C1804">
        <v>2</v>
      </c>
      <c r="D1804">
        <v>118</v>
      </c>
    </row>
    <row r="1805" spans="1:4" x14ac:dyDescent="0.3">
      <c r="A1805">
        <v>587</v>
      </c>
      <c r="B1805">
        <v>43</v>
      </c>
      <c r="C1805">
        <v>5</v>
      </c>
      <c r="D1805">
        <v>70</v>
      </c>
    </row>
    <row r="1806" spans="1:4" x14ac:dyDescent="0.3">
      <c r="A1806">
        <v>968</v>
      </c>
      <c r="B1806">
        <v>39</v>
      </c>
      <c r="C1806">
        <v>4</v>
      </c>
      <c r="D1806">
        <v>32</v>
      </c>
    </row>
    <row r="1807" spans="1:4" x14ac:dyDescent="0.3">
      <c r="A1807">
        <v>876</v>
      </c>
      <c r="B1807">
        <v>42</v>
      </c>
      <c r="C1807">
        <v>2</v>
      </c>
      <c r="D1807">
        <v>39</v>
      </c>
    </row>
    <row r="1808" spans="1:4" x14ac:dyDescent="0.3">
      <c r="A1808">
        <v>936</v>
      </c>
      <c r="B1808">
        <v>17</v>
      </c>
      <c r="C1808">
        <v>1</v>
      </c>
      <c r="D1808">
        <v>69</v>
      </c>
    </row>
    <row r="1809" spans="1:4" x14ac:dyDescent="0.3">
      <c r="A1809">
        <v>811</v>
      </c>
      <c r="B1809">
        <v>15</v>
      </c>
      <c r="C1809">
        <v>3</v>
      </c>
      <c r="D1809">
        <v>27</v>
      </c>
    </row>
    <row r="1810" spans="1:4" x14ac:dyDescent="0.3">
      <c r="A1810">
        <v>150</v>
      </c>
      <c r="B1810">
        <v>18</v>
      </c>
      <c r="C1810">
        <v>4</v>
      </c>
      <c r="D1810">
        <v>105</v>
      </c>
    </row>
    <row r="1811" spans="1:4" x14ac:dyDescent="0.3">
      <c r="A1811">
        <v>660</v>
      </c>
      <c r="B1811">
        <v>23</v>
      </c>
      <c r="C1811">
        <v>2</v>
      </c>
      <c r="D1811">
        <v>65</v>
      </c>
    </row>
    <row r="1812" spans="1:4" x14ac:dyDescent="0.3">
      <c r="A1812">
        <v>8</v>
      </c>
      <c r="B1812">
        <v>30</v>
      </c>
      <c r="C1812">
        <v>3</v>
      </c>
      <c r="D1812">
        <v>62</v>
      </c>
    </row>
    <row r="1813" spans="1:4" x14ac:dyDescent="0.3">
      <c r="A1813">
        <v>29</v>
      </c>
      <c r="B1813">
        <v>34</v>
      </c>
      <c r="C1813">
        <v>3</v>
      </c>
      <c r="D1813">
        <v>16</v>
      </c>
    </row>
    <row r="1814" spans="1:4" x14ac:dyDescent="0.3">
      <c r="A1814">
        <v>296</v>
      </c>
      <c r="B1814">
        <v>4</v>
      </c>
      <c r="C1814">
        <v>3</v>
      </c>
      <c r="D1814">
        <v>106</v>
      </c>
    </row>
    <row r="1815" spans="1:4" x14ac:dyDescent="0.3">
      <c r="A1815">
        <v>986</v>
      </c>
      <c r="B1815">
        <v>3</v>
      </c>
      <c r="C1815">
        <v>1</v>
      </c>
      <c r="D1815">
        <v>78</v>
      </c>
    </row>
    <row r="1816" spans="1:4" x14ac:dyDescent="0.3">
      <c r="A1816">
        <v>926</v>
      </c>
      <c r="B1816">
        <v>7</v>
      </c>
      <c r="C1816">
        <v>5</v>
      </c>
      <c r="D1816">
        <v>101</v>
      </c>
    </row>
    <row r="1817" spans="1:4" x14ac:dyDescent="0.3">
      <c r="A1817">
        <v>721</v>
      </c>
      <c r="B1817">
        <v>18</v>
      </c>
      <c r="C1817">
        <v>3</v>
      </c>
      <c r="D1817">
        <v>81</v>
      </c>
    </row>
    <row r="1818" spans="1:4" x14ac:dyDescent="0.3">
      <c r="A1818">
        <v>640</v>
      </c>
      <c r="B1818">
        <v>42</v>
      </c>
      <c r="C1818">
        <v>4</v>
      </c>
      <c r="D1818">
        <v>88</v>
      </c>
    </row>
    <row r="1819" spans="1:4" x14ac:dyDescent="0.3">
      <c r="A1819">
        <v>340</v>
      </c>
      <c r="B1819">
        <v>7</v>
      </c>
      <c r="C1819">
        <v>2</v>
      </c>
      <c r="D1819">
        <v>61</v>
      </c>
    </row>
    <row r="1820" spans="1:4" x14ac:dyDescent="0.3">
      <c r="A1820">
        <v>628</v>
      </c>
      <c r="B1820">
        <v>40</v>
      </c>
      <c r="C1820">
        <v>4</v>
      </c>
      <c r="D1820">
        <v>13</v>
      </c>
    </row>
    <row r="1821" spans="1:4" x14ac:dyDescent="0.3">
      <c r="A1821">
        <v>439</v>
      </c>
      <c r="B1821">
        <v>6</v>
      </c>
      <c r="C1821">
        <v>1</v>
      </c>
      <c r="D1821">
        <v>43</v>
      </c>
    </row>
    <row r="1822" spans="1:4" x14ac:dyDescent="0.3">
      <c r="A1822">
        <v>144</v>
      </c>
      <c r="B1822">
        <v>22</v>
      </c>
      <c r="C1822">
        <v>1</v>
      </c>
      <c r="D1822">
        <v>78</v>
      </c>
    </row>
    <row r="1823" spans="1:4" x14ac:dyDescent="0.3">
      <c r="A1823">
        <v>942</v>
      </c>
      <c r="B1823">
        <v>1</v>
      </c>
      <c r="C1823">
        <v>4</v>
      </c>
      <c r="D1823">
        <v>42</v>
      </c>
    </row>
    <row r="1824" spans="1:4" x14ac:dyDescent="0.3">
      <c r="A1824">
        <v>830</v>
      </c>
      <c r="B1824">
        <v>4</v>
      </c>
      <c r="C1824">
        <v>5</v>
      </c>
      <c r="D1824">
        <v>78</v>
      </c>
    </row>
    <row r="1825" spans="1:4" x14ac:dyDescent="0.3">
      <c r="A1825">
        <v>747</v>
      </c>
      <c r="B1825">
        <v>46</v>
      </c>
      <c r="C1825">
        <v>1</v>
      </c>
      <c r="D1825">
        <v>47</v>
      </c>
    </row>
    <row r="1826" spans="1:4" x14ac:dyDescent="0.3">
      <c r="A1826">
        <v>519</v>
      </c>
      <c r="B1826">
        <v>49</v>
      </c>
      <c r="C1826">
        <v>1</v>
      </c>
      <c r="D1826">
        <v>107</v>
      </c>
    </row>
    <row r="1827" spans="1:4" x14ac:dyDescent="0.3">
      <c r="A1827">
        <v>976</v>
      </c>
      <c r="B1827">
        <v>50</v>
      </c>
      <c r="C1827">
        <v>4</v>
      </c>
      <c r="D1827">
        <v>35</v>
      </c>
    </row>
    <row r="1828" spans="1:4" x14ac:dyDescent="0.3">
      <c r="A1828">
        <v>45</v>
      </c>
      <c r="B1828">
        <v>43</v>
      </c>
      <c r="C1828">
        <v>1</v>
      </c>
      <c r="D1828">
        <v>10</v>
      </c>
    </row>
    <row r="1829" spans="1:4" x14ac:dyDescent="0.3">
      <c r="A1829">
        <v>955</v>
      </c>
      <c r="B1829">
        <v>29</v>
      </c>
      <c r="C1829">
        <v>5</v>
      </c>
      <c r="D1829">
        <v>13</v>
      </c>
    </row>
    <row r="1830" spans="1:4" x14ac:dyDescent="0.3">
      <c r="A1830">
        <v>239</v>
      </c>
      <c r="B1830">
        <v>21</v>
      </c>
      <c r="C1830">
        <v>5</v>
      </c>
      <c r="D1830">
        <v>48</v>
      </c>
    </row>
    <row r="1831" spans="1:4" x14ac:dyDescent="0.3">
      <c r="A1831">
        <v>952</v>
      </c>
      <c r="B1831">
        <v>26</v>
      </c>
      <c r="C1831">
        <v>5</v>
      </c>
      <c r="D1831">
        <v>63</v>
      </c>
    </row>
    <row r="1832" spans="1:4" x14ac:dyDescent="0.3">
      <c r="A1832">
        <v>944</v>
      </c>
      <c r="B1832">
        <v>14</v>
      </c>
      <c r="C1832">
        <v>2</v>
      </c>
      <c r="D1832">
        <v>99</v>
      </c>
    </row>
    <row r="1833" spans="1:4" x14ac:dyDescent="0.3">
      <c r="A1833">
        <v>155</v>
      </c>
      <c r="B1833">
        <v>9</v>
      </c>
      <c r="C1833">
        <v>5</v>
      </c>
      <c r="D1833">
        <v>42</v>
      </c>
    </row>
    <row r="1834" spans="1:4" x14ac:dyDescent="0.3">
      <c r="A1834">
        <v>181</v>
      </c>
      <c r="B1834">
        <v>47</v>
      </c>
      <c r="C1834">
        <v>5</v>
      </c>
      <c r="D1834">
        <v>42</v>
      </c>
    </row>
    <row r="1835" spans="1:4" x14ac:dyDescent="0.3">
      <c r="A1835">
        <v>215</v>
      </c>
      <c r="B1835">
        <v>12</v>
      </c>
      <c r="C1835">
        <v>2</v>
      </c>
      <c r="D1835">
        <v>81</v>
      </c>
    </row>
    <row r="1836" spans="1:4" x14ac:dyDescent="0.3">
      <c r="A1836">
        <v>88</v>
      </c>
      <c r="B1836">
        <v>42</v>
      </c>
      <c r="C1836">
        <v>3</v>
      </c>
      <c r="D1836">
        <v>29</v>
      </c>
    </row>
    <row r="1837" spans="1:4" x14ac:dyDescent="0.3">
      <c r="A1837">
        <v>256</v>
      </c>
      <c r="B1837">
        <v>6</v>
      </c>
      <c r="C1837">
        <v>1</v>
      </c>
      <c r="D1837">
        <v>25</v>
      </c>
    </row>
    <row r="1838" spans="1:4" x14ac:dyDescent="0.3">
      <c r="A1838">
        <v>511</v>
      </c>
      <c r="B1838">
        <v>20</v>
      </c>
      <c r="C1838">
        <v>5</v>
      </c>
      <c r="D1838">
        <v>30</v>
      </c>
    </row>
    <row r="1839" spans="1:4" x14ac:dyDescent="0.3">
      <c r="A1839">
        <v>73</v>
      </c>
      <c r="B1839">
        <v>24</v>
      </c>
      <c r="C1839">
        <v>1</v>
      </c>
      <c r="D1839">
        <v>54</v>
      </c>
    </row>
    <row r="1840" spans="1:4" x14ac:dyDescent="0.3">
      <c r="A1840">
        <v>931</v>
      </c>
      <c r="B1840">
        <v>27</v>
      </c>
      <c r="C1840">
        <v>4</v>
      </c>
      <c r="D1840">
        <v>99</v>
      </c>
    </row>
    <row r="1841" spans="1:4" x14ac:dyDescent="0.3">
      <c r="A1841">
        <v>179</v>
      </c>
      <c r="B1841">
        <v>38</v>
      </c>
      <c r="C1841">
        <v>1</v>
      </c>
      <c r="D1841">
        <v>96</v>
      </c>
    </row>
    <row r="1842" spans="1:4" x14ac:dyDescent="0.3">
      <c r="A1842">
        <v>212</v>
      </c>
      <c r="B1842">
        <v>8</v>
      </c>
      <c r="C1842">
        <v>2</v>
      </c>
      <c r="D1842">
        <v>91</v>
      </c>
    </row>
    <row r="1843" spans="1:4" x14ac:dyDescent="0.3">
      <c r="A1843">
        <v>805</v>
      </c>
      <c r="B1843">
        <v>1</v>
      </c>
      <c r="C1843">
        <v>1</v>
      </c>
      <c r="D1843">
        <v>71</v>
      </c>
    </row>
    <row r="1844" spans="1:4" x14ac:dyDescent="0.3">
      <c r="A1844">
        <v>234</v>
      </c>
      <c r="B1844">
        <v>49</v>
      </c>
      <c r="C1844">
        <v>1</v>
      </c>
      <c r="D1844">
        <v>40</v>
      </c>
    </row>
    <row r="1845" spans="1:4" x14ac:dyDescent="0.3">
      <c r="A1845">
        <v>465</v>
      </c>
      <c r="B1845">
        <v>49</v>
      </c>
      <c r="C1845">
        <v>1</v>
      </c>
      <c r="D1845">
        <v>51</v>
      </c>
    </row>
    <row r="1846" spans="1:4" x14ac:dyDescent="0.3">
      <c r="A1846">
        <v>751</v>
      </c>
      <c r="B1846">
        <v>24</v>
      </c>
      <c r="C1846">
        <v>3</v>
      </c>
      <c r="D1846">
        <v>21</v>
      </c>
    </row>
    <row r="1847" spans="1:4" x14ac:dyDescent="0.3">
      <c r="A1847">
        <v>223</v>
      </c>
      <c r="B1847">
        <v>47</v>
      </c>
      <c r="C1847">
        <v>3</v>
      </c>
      <c r="D1847">
        <v>74</v>
      </c>
    </row>
    <row r="1848" spans="1:4" x14ac:dyDescent="0.3">
      <c r="A1848">
        <v>631</v>
      </c>
      <c r="B1848">
        <v>7</v>
      </c>
      <c r="C1848">
        <v>4</v>
      </c>
      <c r="D1848">
        <v>115</v>
      </c>
    </row>
    <row r="1849" spans="1:4" x14ac:dyDescent="0.3">
      <c r="A1849">
        <v>825</v>
      </c>
      <c r="B1849">
        <v>19</v>
      </c>
      <c r="C1849">
        <v>2</v>
      </c>
      <c r="D1849">
        <v>82</v>
      </c>
    </row>
    <row r="1850" spans="1:4" x14ac:dyDescent="0.3">
      <c r="A1850">
        <v>264</v>
      </c>
      <c r="B1850">
        <v>22</v>
      </c>
      <c r="C1850">
        <v>1</v>
      </c>
      <c r="D1850">
        <v>12</v>
      </c>
    </row>
    <row r="1851" spans="1:4" x14ac:dyDescent="0.3">
      <c r="A1851">
        <v>207</v>
      </c>
      <c r="B1851">
        <v>35</v>
      </c>
      <c r="C1851">
        <v>1</v>
      </c>
      <c r="D1851">
        <v>99</v>
      </c>
    </row>
    <row r="1852" spans="1:4" x14ac:dyDescent="0.3">
      <c r="A1852">
        <v>607</v>
      </c>
      <c r="B1852">
        <v>30</v>
      </c>
      <c r="C1852">
        <v>1</v>
      </c>
      <c r="D1852">
        <v>18</v>
      </c>
    </row>
    <row r="1853" spans="1:4" x14ac:dyDescent="0.3">
      <c r="A1853">
        <v>885</v>
      </c>
      <c r="B1853">
        <v>29</v>
      </c>
      <c r="C1853">
        <v>1</v>
      </c>
      <c r="D1853">
        <v>115</v>
      </c>
    </row>
    <row r="1854" spans="1:4" x14ac:dyDescent="0.3">
      <c r="A1854">
        <v>734</v>
      </c>
      <c r="B1854">
        <v>22</v>
      </c>
      <c r="C1854">
        <v>3</v>
      </c>
      <c r="D1854">
        <v>60</v>
      </c>
    </row>
    <row r="1855" spans="1:4" x14ac:dyDescent="0.3">
      <c r="A1855">
        <v>366</v>
      </c>
      <c r="B1855">
        <v>11</v>
      </c>
      <c r="C1855">
        <v>4</v>
      </c>
      <c r="D1855">
        <v>25</v>
      </c>
    </row>
    <row r="1856" spans="1:4" x14ac:dyDescent="0.3">
      <c r="A1856">
        <v>276</v>
      </c>
      <c r="B1856">
        <v>20</v>
      </c>
      <c r="C1856">
        <v>5</v>
      </c>
      <c r="D1856">
        <v>97</v>
      </c>
    </row>
    <row r="1857" spans="1:4" x14ac:dyDescent="0.3">
      <c r="A1857">
        <v>380</v>
      </c>
      <c r="B1857">
        <v>29</v>
      </c>
      <c r="C1857">
        <v>2</v>
      </c>
      <c r="D1857">
        <v>87</v>
      </c>
    </row>
    <row r="1858" spans="1:4" x14ac:dyDescent="0.3">
      <c r="A1858">
        <v>743</v>
      </c>
      <c r="B1858">
        <v>41</v>
      </c>
      <c r="C1858">
        <v>1</v>
      </c>
      <c r="D1858">
        <v>12</v>
      </c>
    </row>
    <row r="1859" spans="1:4" x14ac:dyDescent="0.3">
      <c r="A1859">
        <v>309</v>
      </c>
      <c r="B1859">
        <v>42</v>
      </c>
      <c r="C1859">
        <v>4</v>
      </c>
      <c r="D1859">
        <v>107</v>
      </c>
    </row>
    <row r="1860" spans="1:4" x14ac:dyDescent="0.3">
      <c r="A1860">
        <v>631</v>
      </c>
      <c r="B1860">
        <v>34</v>
      </c>
      <c r="C1860">
        <v>5</v>
      </c>
      <c r="D1860">
        <v>106</v>
      </c>
    </row>
    <row r="1861" spans="1:4" x14ac:dyDescent="0.3">
      <c r="A1861">
        <v>268</v>
      </c>
      <c r="B1861">
        <v>1</v>
      </c>
      <c r="C1861">
        <v>4</v>
      </c>
      <c r="D1861">
        <v>33</v>
      </c>
    </row>
    <row r="1862" spans="1:4" x14ac:dyDescent="0.3">
      <c r="A1862">
        <v>945</v>
      </c>
      <c r="B1862">
        <v>31</v>
      </c>
      <c r="C1862">
        <v>3</v>
      </c>
      <c r="D1862">
        <v>82</v>
      </c>
    </row>
    <row r="1863" spans="1:4" x14ac:dyDescent="0.3">
      <c r="A1863">
        <v>785</v>
      </c>
      <c r="B1863">
        <v>30</v>
      </c>
      <c r="C1863">
        <v>5</v>
      </c>
      <c r="D1863">
        <v>22</v>
      </c>
    </row>
    <row r="1864" spans="1:4" x14ac:dyDescent="0.3">
      <c r="A1864">
        <v>64</v>
      </c>
      <c r="B1864">
        <v>48</v>
      </c>
      <c r="C1864">
        <v>4</v>
      </c>
      <c r="D1864">
        <v>11</v>
      </c>
    </row>
    <row r="1865" spans="1:4" x14ac:dyDescent="0.3">
      <c r="A1865">
        <v>810</v>
      </c>
      <c r="B1865">
        <v>18</v>
      </c>
      <c r="C1865">
        <v>3</v>
      </c>
      <c r="D1865">
        <v>80</v>
      </c>
    </row>
    <row r="1866" spans="1:4" x14ac:dyDescent="0.3">
      <c r="A1866">
        <v>350</v>
      </c>
      <c r="B1866">
        <v>17</v>
      </c>
      <c r="C1866">
        <v>4</v>
      </c>
      <c r="D1866">
        <v>30</v>
      </c>
    </row>
    <row r="1867" spans="1:4" x14ac:dyDescent="0.3">
      <c r="A1867">
        <v>925</v>
      </c>
      <c r="B1867">
        <v>38</v>
      </c>
      <c r="C1867">
        <v>4</v>
      </c>
      <c r="D1867">
        <v>28</v>
      </c>
    </row>
    <row r="1868" spans="1:4" x14ac:dyDescent="0.3">
      <c r="A1868">
        <v>915</v>
      </c>
      <c r="B1868">
        <v>14</v>
      </c>
      <c r="C1868">
        <v>5</v>
      </c>
      <c r="D1868">
        <v>98</v>
      </c>
    </row>
    <row r="1869" spans="1:4" x14ac:dyDescent="0.3">
      <c r="A1869">
        <v>494</v>
      </c>
      <c r="B1869">
        <v>23</v>
      </c>
      <c r="C1869">
        <v>3</v>
      </c>
      <c r="D1869">
        <v>56</v>
      </c>
    </row>
    <row r="1870" spans="1:4" x14ac:dyDescent="0.3">
      <c r="A1870">
        <v>523</v>
      </c>
      <c r="B1870">
        <v>25</v>
      </c>
      <c r="C1870">
        <v>1</v>
      </c>
      <c r="D1870">
        <v>31</v>
      </c>
    </row>
    <row r="1871" spans="1:4" x14ac:dyDescent="0.3">
      <c r="A1871">
        <v>98</v>
      </c>
      <c r="B1871">
        <v>15</v>
      </c>
      <c r="C1871">
        <v>2</v>
      </c>
      <c r="D1871">
        <v>84</v>
      </c>
    </row>
    <row r="1872" spans="1:4" x14ac:dyDescent="0.3">
      <c r="A1872">
        <v>946</v>
      </c>
      <c r="B1872">
        <v>46</v>
      </c>
      <c r="C1872">
        <v>5</v>
      </c>
      <c r="D1872">
        <v>42</v>
      </c>
    </row>
    <row r="1873" spans="1:4" x14ac:dyDescent="0.3">
      <c r="A1873">
        <v>71</v>
      </c>
      <c r="B1873">
        <v>22</v>
      </c>
      <c r="C1873">
        <v>3</v>
      </c>
      <c r="D1873">
        <v>41</v>
      </c>
    </row>
    <row r="1874" spans="1:4" x14ac:dyDescent="0.3">
      <c r="A1874">
        <v>364</v>
      </c>
      <c r="B1874">
        <v>3</v>
      </c>
      <c r="C1874">
        <v>4</v>
      </c>
      <c r="D1874">
        <v>73</v>
      </c>
    </row>
    <row r="1875" spans="1:4" x14ac:dyDescent="0.3">
      <c r="A1875">
        <v>570</v>
      </c>
      <c r="B1875">
        <v>19</v>
      </c>
      <c r="C1875">
        <v>3</v>
      </c>
      <c r="D1875">
        <v>94</v>
      </c>
    </row>
    <row r="1876" spans="1:4" x14ac:dyDescent="0.3">
      <c r="A1876">
        <v>802</v>
      </c>
      <c r="B1876">
        <v>44</v>
      </c>
      <c r="C1876">
        <v>2</v>
      </c>
      <c r="D1876">
        <v>48</v>
      </c>
    </row>
    <row r="1877" spans="1:4" x14ac:dyDescent="0.3">
      <c r="A1877">
        <v>763</v>
      </c>
      <c r="B1877">
        <v>34</v>
      </c>
      <c r="C1877">
        <v>2</v>
      </c>
      <c r="D1877">
        <v>93</v>
      </c>
    </row>
    <row r="1878" spans="1:4" x14ac:dyDescent="0.3">
      <c r="A1878">
        <v>276</v>
      </c>
      <c r="B1878">
        <v>35</v>
      </c>
      <c r="C1878">
        <v>1</v>
      </c>
      <c r="D1878">
        <v>81</v>
      </c>
    </row>
    <row r="1879" spans="1:4" x14ac:dyDescent="0.3">
      <c r="A1879">
        <v>50</v>
      </c>
      <c r="B1879">
        <v>50</v>
      </c>
      <c r="C1879">
        <v>1</v>
      </c>
      <c r="D1879">
        <v>51</v>
      </c>
    </row>
    <row r="1880" spans="1:4" x14ac:dyDescent="0.3">
      <c r="A1880">
        <v>358</v>
      </c>
      <c r="B1880">
        <v>1</v>
      </c>
      <c r="C1880">
        <v>2</v>
      </c>
      <c r="D1880">
        <v>110</v>
      </c>
    </row>
    <row r="1881" spans="1:4" x14ac:dyDescent="0.3">
      <c r="A1881">
        <v>728</v>
      </c>
      <c r="B1881">
        <v>21</v>
      </c>
      <c r="C1881">
        <v>5</v>
      </c>
      <c r="D1881">
        <v>18</v>
      </c>
    </row>
    <row r="1882" spans="1:4" x14ac:dyDescent="0.3">
      <c r="A1882">
        <v>906</v>
      </c>
      <c r="B1882">
        <v>29</v>
      </c>
      <c r="C1882">
        <v>5</v>
      </c>
      <c r="D1882">
        <v>34</v>
      </c>
    </row>
    <row r="1883" spans="1:4" x14ac:dyDescent="0.3">
      <c r="A1883">
        <v>928</v>
      </c>
      <c r="B1883">
        <v>6</v>
      </c>
      <c r="C1883">
        <v>4</v>
      </c>
      <c r="D1883">
        <v>98</v>
      </c>
    </row>
    <row r="1884" spans="1:4" x14ac:dyDescent="0.3">
      <c r="A1884">
        <v>564</v>
      </c>
      <c r="B1884">
        <v>37</v>
      </c>
      <c r="C1884">
        <v>1</v>
      </c>
      <c r="D1884">
        <v>106</v>
      </c>
    </row>
    <row r="1885" spans="1:4" x14ac:dyDescent="0.3">
      <c r="A1885">
        <v>783</v>
      </c>
      <c r="B1885">
        <v>1</v>
      </c>
      <c r="C1885">
        <v>4</v>
      </c>
      <c r="D1885">
        <v>11</v>
      </c>
    </row>
    <row r="1886" spans="1:4" x14ac:dyDescent="0.3">
      <c r="A1886">
        <v>485</v>
      </c>
      <c r="B1886">
        <v>1</v>
      </c>
      <c r="C1886">
        <v>1</v>
      </c>
      <c r="D1886">
        <v>28</v>
      </c>
    </row>
    <row r="1887" spans="1:4" x14ac:dyDescent="0.3">
      <c r="A1887">
        <v>84</v>
      </c>
      <c r="B1887">
        <v>27</v>
      </c>
      <c r="C1887">
        <v>2</v>
      </c>
      <c r="D1887">
        <v>119</v>
      </c>
    </row>
    <row r="1888" spans="1:4" x14ac:dyDescent="0.3">
      <c r="A1888">
        <v>899</v>
      </c>
      <c r="B1888">
        <v>21</v>
      </c>
      <c r="C1888">
        <v>5</v>
      </c>
      <c r="D1888">
        <v>29</v>
      </c>
    </row>
    <row r="1889" spans="1:4" x14ac:dyDescent="0.3">
      <c r="A1889">
        <v>805</v>
      </c>
      <c r="B1889">
        <v>16</v>
      </c>
      <c r="C1889">
        <v>5</v>
      </c>
      <c r="D1889">
        <v>115</v>
      </c>
    </row>
    <row r="1890" spans="1:4" x14ac:dyDescent="0.3">
      <c r="A1890">
        <v>638</v>
      </c>
      <c r="B1890">
        <v>44</v>
      </c>
      <c r="C1890">
        <v>2</v>
      </c>
      <c r="D1890">
        <v>114</v>
      </c>
    </row>
    <row r="1891" spans="1:4" x14ac:dyDescent="0.3">
      <c r="A1891">
        <v>808</v>
      </c>
      <c r="B1891">
        <v>40</v>
      </c>
      <c r="C1891">
        <v>4</v>
      </c>
      <c r="D1891">
        <v>115</v>
      </c>
    </row>
    <row r="1892" spans="1:4" x14ac:dyDescent="0.3">
      <c r="A1892">
        <v>584</v>
      </c>
      <c r="B1892">
        <v>26</v>
      </c>
      <c r="C1892">
        <v>4</v>
      </c>
      <c r="D1892">
        <v>102</v>
      </c>
    </row>
    <row r="1893" spans="1:4" x14ac:dyDescent="0.3">
      <c r="A1893">
        <v>296</v>
      </c>
      <c r="B1893">
        <v>16</v>
      </c>
      <c r="C1893">
        <v>3</v>
      </c>
      <c r="D1893">
        <v>79</v>
      </c>
    </row>
    <row r="1894" spans="1:4" x14ac:dyDescent="0.3">
      <c r="A1894">
        <v>236</v>
      </c>
      <c r="B1894">
        <v>28</v>
      </c>
      <c r="C1894">
        <v>1</v>
      </c>
      <c r="D1894">
        <v>26</v>
      </c>
    </row>
    <row r="1895" spans="1:4" x14ac:dyDescent="0.3">
      <c r="A1895">
        <v>56</v>
      </c>
      <c r="B1895">
        <v>1</v>
      </c>
      <c r="C1895">
        <v>4</v>
      </c>
      <c r="D1895">
        <v>98</v>
      </c>
    </row>
    <row r="1896" spans="1:4" x14ac:dyDescent="0.3">
      <c r="A1896">
        <v>919</v>
      </c>
      <c r="B1896">
        <v>36</v>
      </c>
      <c r="C1896">
        <v>2</v>
      </c>
      <c r="D1896">
        <v>111</v>
      </c>
    </row>
    <row r="1897" spans="1:4" x14ac:dyDescent="0.3">
      <c r="A1897">
        <v>360</v>
      </c>
      <c r="B1897">
        <v>10</v>
      </c>
      <c r="C1897">
        <v>4</v>
      </c>
      <c r="D1897">
        <v>77</v>
      </c>
    </row>
    <row r="1898" spans="1:4" x14ac:dyDescent="0.3">
      <c r="A1898">
        <v>907</v>
      </c>
      <c r="B1898">
        <v>43</v>
      </c>
      <c r="C1898">
        <v>5</v>
      </c>
      <c r="D1898">
        <v>103</v>
      </c>
    </row>
    <row r="1899" spans="1:4" x14ac:dyDescent="0.3">
      <c r="A1899">
        <v>110</v>
      </c>
      <c r="B1899">
        <v>17</v>
      </c>
      <c r="C1899">
        <v>1</v>
      </c>
      <c r="D1899">
        <v>93</v>
      </c>
    </row>
    <row r="1900" spans="1:4" x14ac:dyDescent="0.3">
      <c r="A1900">
        <v>192</v>
      </c>
      <c r="B1900">
        <v>23</v>
      </c>
      <c r="C1900">
        <v>3</v>
      </c>
      <c r="D1900">
        <v>12</v>
      </c>
    </row>
    <row r="1901" spans="1:4" x14ac:dyDescent="0.3">
      <c r="A1901">
        <v>904</v>
      </c>
      <c r="B1901">
        <v>7</v>
      </c>
      <c r="C1901">
        <v>1</v>
      </c>
      <c r="D1901">
        <v>96</v>
      </c>
    </row>
    <row r="1902" spans="1:4" x14ac:dyDescent="0.3">
      <c r="A1902">
        <v>93</v>
      </c>
      <c r="B1902">
        <v>44</v>
      </c>
      <c r="C1902">
        <v>5</v>
      </c>
      <c r="D1902">
        <v>60</v>
      </c>
    </row>
    <row r="1903" spans="1:4" x14ac:dyDescent="0.3">
      <c r="A1903">
        <v>862</v>
      </c>
      <c r="B1903">
        <v>7</v>
      </c>
      <c r="C1903">
        <v>5</v>
      </c>
      <c r="D1903">
        <v>91</v>
      </c>
    </row>
    <row r="1904" spans="1:4" x14ac:dyDescent="0.3">
      <c r="A1904">
        <v>568</v>
      </c>
      <c r="B1904">
        <v>44</v>
      </c>
      <c r="C1904">
        <v>5</v>
      </c>
      <c r="D1904">
        <v>35</v>
      </c>
    </row>
    <row r="1905" spans="1:4" x14ac:dyDescent="0.3">
      <c r="A1905">
        <v>60</v>
      </c>
      <c r="B1905">
        <v>15</v>
      </c>
      <c r="C1905">
        <v>5</v>
      </c>
      <c r="D1905">
        <v>65</v>
      </c>
    </row>
    <row r="1906" spans="1:4" x14ac:dyDescent="0.3">
      <c r="A1906">
        <v>650</v>
      </c>
      <c r="B1906">
        <v>34</v>
      </c>
      <c r="C1906">
        <v>2</v>
      </c>
      <c r="D1906">
        <v>109</v>
      </c>
    </row>
    <row r="1907" spans="1:4" x14ac:dyDescent="0.3">
      <c r="A1907">
        <v>39</v>
      </c>
      <c r="B1907">
        <v>46</v>
      </c>
      <c r="C1907">
        <v>3</v>
      </c>
      <c r="D1907">
        <v>73</v>
      </c>
    </row>
    <row r="1908" spans="1:4" x14ac:dyDescent="0.3">
      <c r="A1908">
        <v>540</v>
      </c>
      <c r="B1908">
        <v>45</v>
      </c>
      <c r="C1908">
        <v>5</v>
      </c>
      <c r="D1908">
        <v>17</v>
      </c>
    </row>
    <row r="1909" spans="1:4" x14ac:dyDescent="0.3">
      <c r="A1909">
        <v>49</v>
      </c>
      <c r="B1909">
        <v>4</v>
      </c>
      <c r="C1909">
        <v>5</v>
      </c>
      <c r="D1909">
        <v>90</v>
      </c>
    </row>
    <row r="1910" spans="1:4" x14ac:dyDescent="0.3">
      <c r="A1910">
        <v>420</v>
      </c>
      <c r="B1910">
        <v>14</v>
      </c>
      <c r="C1910">
        <v>4</v>
      </c>
      <c r="D1910">
        <v>104</v>
      </c>
    </row>
    <row r="1911" spans="1:4" x14ac:dyDescent="0.3">
      <c r="A1911">
        <v>637</v>
      </c>
      <c r="B1911">
        <v>14</v>
      </c>
      <c r="C1911">
        <v>3</v>
      </c>
      <c r="D1911">
        <v>46</v>
      </c>
    </row>
    <row r="1912" spans="1:4" x14ac:dyDescent="0.3">
      <c r="A1912">
        <v>13</v>
      </c>
      <c r="B1912">
        <v>16</v>
      </c>
      <c r="C1912">
        <v>1</v>
      </c>
      <c r="D1912">
        <v>118</v>
      </c>
    </row>
    <row r="1913" spans="1:4" x14ac:dyDescent="0.3">
      <c r="A1913">
        <v>992</v>
      </c>
      <c r="B1913">
        <v>7</v>
      </c>
      <c r="C1913">
        <v>3</v>
      </c>
      <c r="D1913">
        <v>106</v>
      </c>
    </row>
    <row r="1914" spans="1:4" x14ac:dyDescent="0.3">
      <c r="A1914">
        <v>36</v>
      </c>
      <c r="B1914">
        <v>32</v>
      </c>
      <c r="C1914">
        <v>3</v>
      </c>
      <c r="D1914">
        <v>36</v>
      </c>
    </row>
    <row r="1915" spans="1:4" x14ac:dyDescent="0.3">
      <c r="A1915">
        <v>101</v>
      </c>
      <c r="B1915">
        <v>19</v>
      </c>
      <c r="C1915">
        <v>3</v>
      </c>
      <c r="D1915">
        <v>54</v>
      </c>
    </row>
    <row r="1916" spans="1:4" x14ac:dyDescent="0.3">
      <c r="A1916">
        <v>794</v>
      </c>
      <c r="B1916">
        <v>2</v>
      </c>
      <c r="C1916">
        <v>5</v>
      </c>
      <c r="D1916">
        <v>13</v>
      </c>
    </row>
    <row r="1917" spans="1:4" x14ac:dyDescent="0.3">
      <c r="A1917">
        <v>86</v>
      </c>
      <c r="B1917">
        <v>10</v>
      </c>
      <c r="C1917">
        <v>5</v>
      </c>
      <c r="D1917">
        <v>95</v>
      </c>
    </row>
    <row r="1918" spans="1:4" x14ac:dyDescent="0.3">
      <c r="A1918">
        <v>516</v>
      </c>
      <c r="B1918">
        <v>50</v>
      </c>
      <c r="C1918">
        <v>2</v>
      </c>
      <c r="D1918">
        <v>99</v>
      </c>
    </row>
    <row r="1919" spans="1:4" x14ac:dyDescent="0.3">
      <c r="A1919">
        <v>223</v>
      </c>
      <c r="B1919">
        <v>17</v>
      </c>
      <c r="C1919">
        <v>1</v>
      </c>
      <c r="D1919">
        <v>105</v>
      </c>
    </row>
    <row r="1920" spans="1:4" x14ac:dyDescent="0.3">
      <c r="A1920">
        <v>338</v>
      </c>
      <c r="B1920">
        <v>37</v>
      </c>
      <c r="C1920">
        <v>4</v>
      </c>
      <c r="D1920">
        <v>97</v>
      </c>
    </row>
    <row r="1921" spans="1:4" x14ac:dyDescent="0.3">
      <c r="A1921">
        <v>960</v>
      </c>
      <c r="B1921">
        <v>12</v>
      </c>
      <c r="C1921">
        <v>3</v>
      </c>
      <c r="D1921">
        <v>119</v>
      </c>
    </row>
    <row r="1922" spans="1:4" x14ac:dyDescent="0.3">
      <c r="A1922">
        <v>166</v>
      </c>
      <c r="B1922">
        <v>6</v>
      </c>
      <c r="C1922">
        <v>1</v>
      </c>
      <c r="D1922">
        <v>108</v>
      </c>
    </row>
    <row r="1923" spans="1:4" x14ac:dyDescent="0.3">
      <c r="A1923">
        <v>383</v>
      </c>
      <c r="B1923">
        <v>22</v>
      </c>
      <c r="C1923">
        <v>1</v>
      </c>
      <c r="D1923">
        <v>46</v>
      </c>
    </row>
    <row r="1924" spans="1:4" x14ac:dyDescent="0.3">
      <c r="A1924">
        <v>856</v>
      </c>
      <c r="B1924">
        <v>32</v>
      </c>
      <c r="C1924">
        <v>2</v>
      </c>
      <c r="D1924">
        <v>105</v>
      </c>
    </row>
    <row r="1925" spans="1:4" x14ac:dyDescent="0.3">
      <c r="A1925">
        <v>895</v>
      </c>
      <c r="B1925">
        <v>41</v>
      </c>
      <c r="C1925">
        <v>4</v>
      </c>
      <c r="D1925">
        <v>80</v>
      </c>
    </row>
    <row r="1926" spans="1:4" x14ac:dyDescent="0.3">
      <c r="A1926">
        <v>376</v>
      </c>
      <c r="B1926">
        <v>20</v>
      </c>
      <c r="C1926">
        <v>3</v>
      </c>
      <c r="D1926">
        <v>42</v>
      </c>
    </row>
    <row r="1927" spans="1:4" x14ac:dyDescent="0.3">
      <c r="A1927">
        <v>471</v>
      </c>
      <c r="B1927">
        <v>1</v>
      </c>
      <c r="C1927">
        <v>4</v>
      </c>
      <c r="D1927">
        <v>40</v>
      </c>
    </row>
    <row r="1928" spans="1:4" x14ac:dyDescent="0.3">
      <c r="A1928">
        <v>790</v>
      </c>
      <c r="B1928">
        <v>47</v>
      </c>
      <c r="C1928">
        <v>2</v>
      </c>
      <c r="D1928">
        <v>64</v>
      </c>
    </row>
    <row r="1929" spans="1:4" x14ac:dyDescent="0.3">
      <c r="A1929">
        <v>642</v>
      </c>
      <c r="B1929">
        <v>6</v>
      </c>
      <c r="C1929">
        <v>5</v>
      </c>
      <c r="D1929">
        <v>21</v>
      </c>
    </row>
    <row r="1930" spans="1:4" x14ac:dyDescent="0.3">
      <c r="A1930">
        <v>31</v>
      </c>
      <c r="B1930">
        <v>19</v>
      </c>
      <c r="C1930">
        <v>1</v>
      </c>
      <c r="D1930">
        <v>20</v>
      </c>
    </row>
    <row r="1931" spans="1:4" x14ac:dyDescent="0.3">
      <c r="A1931">
        <v>375</v>
      </c>
      <c r="B1931">
        <v>18</v>
      </c>
      <c r="C1931">
        <v>3</v>
      </c>
      <c r="D1931">
        <v>97</v>
      </c>
    </row>
    <row r="1932" spans="1:4" x14ac:dyDescent="0.3">
      <c r="A1932">
        <v>11</v>
      </c>
      <c r="B1932">
        <v>6</v>
      </c>
      <c r="C1932">
        <v>5</v>
      </c>
      <c r="D1932">
        <v>81</v>
      </c>
    </row>
    <row r="1933" spans="1:4" x14ac:dyDescent="0.3">
      <c r="A1933">
        <v>988</v>
      </c>
      <c r="B1933">
        <v>45</v>
      </c>
      <c r="C1933">
        <v>2</v>
      </c>
      <c r="D1933">
        <v>41</v>
      </c>
    </row>
    <row r="1934" spans="1:4" x14ac:dyDescent="0.3">
      <c r="A1934">
        <v>302</v>
      </c>
      <c r="B1934">
        <v>33</v>
      </c>
      <c r="C1934">
        <v>4</v>
      </c>
      <c r="D1934">
        <v>66</v>
      </c>
    </row>
    <row r="1935" spans="1:4" x14ac:dyDescent="0.3">
      <c r="A1935">
        <v>96</v>
      </c>
      <c r="B1935">
        <v>23</v>
      </c>
      <c r="C1935">
        <v>1</v>
      </c>
      <c r="D1935">
        <v>47</v>
      </c>
    </row>
    <row r="1936" spans="1:4" x14ac:dyDescent="0.3">
      <c r="A1936">
        <v>190</v>
      </c>
      <c r="B1936">
        <v>23</v>
      </c>
      <c r="C1936">
        <v>3</v>
      </c>
      <c r="D1936">
        <v>69</v>
      </c>
    </row>
    <row r="1937" spans="1:4" x14ac:dyDescent="0.3">
      <c r="A1937">
        <v>453</v>
      </c>
      <c r="B1937">
        <v>26</v>
      </c>
      <c r="C1937">
        <v>5</v>
      </c>
      <c r="D1937">
        <v>95</v>
      </c>
    </row>
    <row r="1938" spans="1:4" x14ac:dyDescent="0.3">
      <c r="A1938">
        <v>192</v>
      </c>
      <c r="B1938">
        <v>13</v>
      </c>
      <c r="C1938">
        <v>5</v>
      </c>
      <c r="D1938">
        <v>107</v>
      </c>
    </row>
    <row r="1939" spans="1:4" x14ac:dyDescent="0.3">
      <c r="A1939">
        <v>486</v>
      </c>
      <c r="B1939">
        <v>7</v>
      </c>
      <c r="C1939">
        <v>1</v>
      </c>
      <c r="D1939">
        <v>28</v>
      </c>
    </row>
    <row r="1940" spans="1:4" x14ac:dyDescent="0.3">
      <c r="A1940">
        <v>266</v>
      </c>
      <c r="B1940">
        <v>15</v>
      </c>
      <c r="C1940">
        <v>4</v>
      </c>
      <c r="D1940">
        <v>93</v>
      </c>
    </row>
    <row r="1941" spans="1:4" x14ac:dyDescent="0.3">
      <c r="A1941">
        <v>424</v>
      </c>
      <c r="B1941">
        <v>44</v>
      </c>
      <c r="C1941">
        <v>2</v>
      </c>
      <c r="D1941">
        <v>65</v>
      </c>
    </row>
    <row r="1942" spans="1:4" x14ac:dyDescent="0.3">
      <c r="A1942">
        <v>128</v>
      </c>
      <c r="B1942">
        <v>27</v>
      </c>
      <c r="C1942">
        <v>4</v>
      </c>
      <c r="D1942">
        <v>23</v>
      </c>
    </row>
    <row r="1943" spans="1:4" x14ac:dyDescent="0.3">
      <c r="A1943">
        <v>238</v>
      </c>
      <c r="B1943">
        <v>26</v>
      </c>
      <c r="C1943">
        <v>4</v>
      </c>
      <c r="D1943">
        <v>42</v>
      </c>
    </row>
    <row r="1944" spans="1:4" x14ac:dyDescent="0.3">
      <c r="A1944">
        <v>920</v>
      </c>
      <c r="B1944">
        <v>33</v>
      </c>
      <c r="C1944">
        <v>4</v>
      </c>
      <c r="D1944">
        <v>19</v>
      </c>
    </row>
    <row r="1945" spans="1:4" x14ac:dyDescent="0.3">
      <c r="A1945">
        <v>355</v>
      </c>
      <c r="B1945">
        <v>15</v>
      </c>
      <c r="C1945">
        <v>1</v>
      </c>
      <c r="D1945">
        <v>89</v>
      </c>
    </row>
    <row r="1946" spans="1:4" x14ac:dyDescent="0.3">
      <c r="A1946">
        <v>940</v>
      </c>
      <c r="B1946">
        <v>36</v>
      </c>
      <c r="C1946">
        <v>1</v>
      </c>
      <c r="D1946">
        <v>73</v>
      </c>
    </row>
    <row r="1947" spans="1:4" x14ac:dyDescent="0.3">
      <c r="A1947">
        <v>112</v>
      </c>
      <c r="B1947">
        <v>45</v>
      </c>
      <c r="C1947">
        <v>2</v>
      </c>
      <c r="D1947">
        <v>73</v>
      </c>
    </row>
    <row r="1948" spans="1:4" x14ac:dyDescent="0.3">
      <c r="A1948">
        <v>828</v>
      </c>
      <c r="B1948">
        <v>27</v>
      </c>
      <c r="C1948">
        <v>4</v>
      </c>
      <c r="D1948">
        <v>71</v>
      </c>
    </row>
    <row r="1949" spans="1:4" x14ac:dyDescent="0.3">
      <c r="A1949">
        <v>446</v>
      </c>
      <c r="B1949">
        <v>5</v>
      </c>
      <c r="C1949">
        <v>1</v>
      </c>
      <c r="D1949">
        <v>77</v>
      </c>
    </row>
    <row r="1950" spans="1:4" x14ac:dyDescent="0.3">
      <c r="A1950">
        <v>343</v>
      </c>
      <c r="B1950">
        <v>2</v>
      </c>
      <c r="C1950">
        <v>2</v>
      </c>
      <c r="D1950">
        <v>100</v>
      </c>
    </row>
    <row r="1951" spans="1:4" x14ac:dyDescent="0.3">
      <c r="A1951">
        <v>145</v>
      </c>
      <c r="B1951">
        <v>33</v>
      </c>
      <c r="C1951">
        <v>2</v>
      </c>
      <c r="D1951">
        <v>101</v>
      </c>
    </row>
    <row r="1952" spans="1:4" x14ac:dyDescent="0.3">
      <c r="A1952">
        <v>65</v>
      </c>
      <c r="B1952">
        <v>16</v>
      </c>
      <c r="C1952">
        <v>4</v>
      </c>
      <c r="D1952">
        <v>52</v>
      </c>
    </row>
    <row r="1953" spans="1:4" x14ac:dyDescent="0.3">
      <c r="A1953">
        <v>247</v>
      </c>
      <c r="B1953">
        <v>23</v>
      </c>
      <c r="C1953">
        <v>3</v>
      </c>
      <c r="D1953">
        <v>89</v>
      </c>
    </row>
    <row r="1954" spans="1:4" x14ac:dyDescent="0.3">
      <c r="A1954">
        <v>735</v>
      </c>
      <c r="B1954">
        <v>38</v>
      </c>
      <c r="C1954">
        <v>4</v>
      </c>
      <c r="D1954">
        <v>68</v>
      </c>
    </row>
    <row r="1955" spans="1:4" x14ac:dyDescent="0.3">
      <c r="A1955">
        <v>991</v>
      </c>
      <c r="B1955">
        <v>16</v>
      </c>
      <c r="C1955">
        <v>3</v>
      </c>
      <c r="D1955">
        <v>61</v>
      </c>
    </row>
    <row r="1956" spans="1:4" x14ac:dyDescent="0.3">
      <c r="A1956">
        <v>490</v>
      </c>
      <c r="B1956">
        <v>14</v>
      </c>
      <c r="C1956">
        <v>2</v>
      </c>
      <c r="D1956">
        <v>106</v>
      </c>
    </row>
    <row r="1957" spans="1:4" x14ac:dyDescent="0.3">
      <c r="A1957">
        <v>825</v>
      </c>
      <c r="B1957">
        <v>29</v>
      </c>
      <c r="C1957">
        <v>1</v>
      </c>
      <c r="D1957">
        <v>28</v>
      </c>
    </row>
    <row r="1958" spans="1:4" x14ac:dyDescent="0.3">
      <c r="A1958">
        <v>439</v>
      </c>
      <c r="B1958">
        <v>26</v>
      </c>
      <c r="C1958">
        <v>5</v>
      </c>
      <c r="D1958">
        <v>30</v>
      </c>
    </row>
    <row r="1959" spans="1:4" x14ac:dyDescent="0.3">
      <c r="A1959">
        <v>106</v>
      </c>
      <c r="B1959">
        <v>35</v>
      </c>
      <c r="C1959">
        <v>2</v>
      </c>
      <c r="D1959">
        <v>31</v>
      </c>
    </row>
    <row r="1960" spans="1:4" x14ac:dyDescent="0.3">
      <c r="A1960">
        <v>181</v>
      </c>
      <c r="B1960">
        <v>15</v>
      </c>
      <c r="C1960">
        <v>1</v>
      </c>
      <c r="D1960">
        <v>18</v>
      </c>
    </row>
    <row r="1961" spans="1:4" x14ac:dyDescent="0.3">
      <c r="A1961">
        <v>184</v>
      </c>
      <c r="B1961">
        <v>3</v>
      </c>
      <c r="C1961">
        <v>2</v>
      </c>
      <c r="D1961">
        <v>18</v>
      </c>
    </row>
    <row r="1962" spans="1:4" x14ac:dyDescent="0.3">
      <c r="A1962">
        <v>226</v>
      </c>
      <c r="B1962">
        <v>23</v>
      </c>
      <c r="C1962">
        <v>4</v>
      </c>
      <c r="D1962">
        <v>82</v>
      </c>
    </row>
    <row r="1963" spans="1:4" x14ac:dyDescent="0.3">
      <c r="A1963">
        <v>777</v>
      </c>
      <c r="B1963">
        <v>29</v>
      </c>
      <c r="C1963">
        <v>3</v>
      </c>
      <c r="D1963">
        <v>36</v>
      </c>
    </row>
    <row r="1964" spans="1:4" x14ac:dyDescent="0.3">
      <c r="A1964">
        <v>790</v>
      </c>
      <c r="B1964">
        <v>34</v>
      </c>
      <c r="C1964">
        <v>2</v>
      </c>
      <c r="D1964">
        <v>26</v>
      </c>
    </row>
    <row r="1965" spans="1:4" x14ac:dyDescent="0.3">
      <c r="A1965">
        <v>909</v>
      </c>
      <c r="B1965">
        <v>33</v>
      </c>
      <c r="C1965">
        <v>1</v>
      </c>
      <c r="D1965">
        <v>53</v>
      </c>
    </row>
    <row r="1966" spans="1:4" x14ac:dyDescent="0.3">
      <c r="A1966">
        <v>89</v>
      </c>
      <c r="B1966">
        <v>41</v>
      </c>
      <c r="C1966">
        <v>4</v>
      </c>
      <c r="D1966">
        <v>54</v>
      </c>
    </row>
    <row r="1967" spans="1:4" x14ac:dyDescent="0.3">
      <c r="A1967">
        <v>688</v>
      </c>
      <c r="B1967">
        <v>41</v>
      </c>
      <c r="C1967">
        <v>5</v>
      </c>
      <c r="D1967">
        <v>17</v>
      </c>
    </row>
    <row r="1968" spans="1:4" x14ac:dyDescent="0.3">
      <c r="A1968">
        <v>530</v>
      </c>
      <c r="B1968">
        <v>23</v>
      </c>
      <c r="C1968">
        <v>4</v>
      </c>
      <c r="D1968">
        <v>89</v>
      </c>
    </row>
    <row r="1969" spans="1:4" x14ac:dyDescent="0.3">
      <c r="A1969">
        <v>371</v>
      </c>
      <c r="B1969">
        <v>7</v>
      </c>
      <c r="C1969">
        <v>3</v>
      </c>
      <c r="D1969">
        <v>27</v>
      </c>
    </row>
    <row r="1970" spans="1:4" x14ac:dyDescent="0.3">
      <c r="A1970">
        <v>972</v>
      </c>
      <c r="B1970">
        <v>3</v>
      </c>
      <c r="C1970">
        <v>4</v>
      </c>
      <c r="D1970">
        <v>42</v>
      </c>
    </row>
    <row r="1971" spans="1:4" x14ac:dyDescent="0.3">
      <c r="A1971">
        <v>936</v>
      </c>
      <c r="B1971">
        <v>32</v>
      </c>
      <c r="C1971">
        <v>5</v>
      </c>
      <c r="D1971">
        <v>10</v>
      </c>
    </row>
    <row r="1972" spans="1:4" x14ac:dyDescent="0.3">
      <c r="A1972">
        <v>913</v>
      </c>
      <c r="B1972">
        <v>31</v>
      </c>
      <c r="C1972">
        <v>1</v>
      </c>
      <c r="D1972">
        <v>85</v>
      </c>
    </row>
    <row r="1973" spans="1:4" x14ac:dyDescent="0.3">
      <c r="A1973">
        <v>399</v>
      </c>
      <c r="B1973">
        <v>18</v>
      </c>
      <c r="C1973">
        <v>2</v>
      </c>
      <c r="D1973">
        <v>15</v>
      </c>
    </row>
    <row r="1974" spans="1:4" x14ac:dyDescent="0.3">
      <c r="A1974">
        <v>106</v>
      </c>
      <c r="B1974">
        <v>43</v>
      </c>
      <c r="C1974">
        <v>3</v>
      </c>
      <c r="D1974">
        <v>50</v>
      </c>
    </row>
    <row r="1975" spans="1:4" x14ac:dyDescent="0.3">
      <c r="A1975">
        <v>271</v>
      </c>
      <c r="B1975">
        <v>7</v>
      </c>
      <c r="C1975">
        <v>5</v>
      </c>
      <c r="D1975">
        <v>64</v>
      </c>
    </row>
    <row r="1976" spans="1:4" x14ac:dyDescent="0.3">
      <c r="A1976">
        <v>975</v>
      </c>
      <c r="B1976">
        <v>41</v>
      </c>
      <c r="C1976">
        <v>3</v>
      </c>
      <c r="D1976">
        <v>14</v>
      </c>
    </row>
    <row r="1977" spans="1:4" x14ac:dyDescent="0.3">
      <c r="A1977">
        <v>831</v>
      </c>
      <c r="B1977">
        <v>1</v>
      </c>
      <c r="C1977">
        <v>4</v>
      </c>
      <c r="D1977">
        <v>68</v>
      </c>
    </row>
    <row r="1978" spans="1:4" x14ac:dyDescent="0.3">
      <c r="A1978">
        <v>503</v>
      </c>
      <c r="B1978">
        <v>14</v>
      </c>
      <c r="C1978">
        <v>3</v>
      </c>
      <c r="D1978">
        <v>89</v>
      </c>
    </row>
    <row r="1979" spans="1:4" x14ac:dyDescent="0.3">
      <c r="A1979">
        <v>679</v>
      </c>
      <c r="B1979">
        <v>32</v>
      </c>
      <c r="C1979">
        <v>5</v>
      </c>
      <c r="D1979">
        <v>27</v>
      </c>
    </row>
    <row r="1980" spans="1:4" x14ac:dyDescent="0.3">
      <c r="A1980">
        <v>525</v>
      </c>
      <c r="B1980">
        <v>6</v>
      </c>
      <c r="C1980">
        <v>2</v>
      </c>
      <c r="D1980">
        <v>58</v>
      </c>
    </row>
    <row r="1981" spans="1:4" x14ac:dyDescent="0.3">
      <c r="A1981">
        <v>849</v>
      </c>
      <c r="B1981">
        <v>39</v>
      </c>
      <c r="C1981">
        <v>2</v>
      </c>
      <c r="D1981">
        <v>91</v>
      </c>
    </row>
    <row r="1982" spans="1:4" x14ac:dyDescent="0.3">
      <c r="A1982">
        <v>32</v>
      </c>
      <c r="B1982">
        <v>10</v>
      </c>
      <c r="C1982">
        <v>3</v>
      </c>
      <c r="D1982">
        <v>74</v>
      </c>
    </row>
    <row r="1983" spans="1:4" x14ac:dyDescent="0.3">
      <c r="A1983">
        <v>393</v>
      </c>
      <c r="B1983">
        <v>7</v>
      </c>
      <c r="C1983">
        <v>1</v>
      </c>
      <c r="D1983">
        <v>92</v>
      </c>
    </row>
    <row r="1984" spans="1:4" x14ac:dyDescent="0.3">
      <c r="A1984">
        <v>40</v>
      </c>
      <c r="B1984">
        <v>26</v>
      </c>
      <c r="C1984">
        <v>3</v>
      </c>
      <c r="D1984">
        <v>63</v>
      </c>
    </row>
    <row r="1985" spans="1:4" x14ac:dyDescent="0.3">
      <c r="A1985">
        <v>660</v>
      </c>
      <c r="B1985">
        <v>34</v>
      </c>
      <c r="C1985">
        <v>4</v>
      </c>
      <c r="D1985">
        <v>70</v>
      </c>
    </row>
    <row r="1986" spans="1:4" x14ac:dyDescent="0.3">
      <c r="A1986">
        <v>218</v>
      </c>
      <c r="B1986">
        <v>30</v>
      </c>
      <c r="C1986">
        <v>2</v>
      </c>
      <c r="D1986">
        <v>17</v>
      </c>
    </row>
    <row r="1987" spans="1:4" x14ac:dyDescent="0.3">
      <c r="A1987">
        <v>731</v>
      </c>
      <c r="B1987">
        <v>36</v>
      </c>
      <c r="C1987">
        <v>2</v>
      </c>
      <c r="D1987">
        <v>12</v>
      </c>
    </row>
    <row r="1988" spans="1:4" x14ac:dyDescent="0.3">
      <c r="A1988">
        <v>981</v>
      </c>
      <c r="B1988">
        <v>21</v>
      </c>
      <c r="C1988">
        <v>2</v>
      </c>
      <c r="D1988">
        <v>34</v>
      </c>
    </row>
    <row r="1989" spans="1:4" x14ac:dyDescent="0.3">
      <c r="A1989">
        <v>82</v>
      </c>
      <c r="B1989">
        <v>17</v>
      </c>
      <c r="C1989">
        <v>1</v>
      </c>
      <c r="D1989">
        <v>78</v>
      </c>
    </row>
    <row r="1990" spans="1:4" x14ac:dyDescent="0.3">
      <c r="A1990">
        <v>845</v>
      </c>
      <c r="B1990">
        <v>33</v>
      </c>
      <c r="C1990">
        <v>1</v>
      </c>
      <c r="D1990">
        <v>64</v>
      </c>
    </row>
    <row r="1991" spans="1:4" x14ac:dyDescent="0.3">
      <c r="A1991">
        <v>720</v>
      </c>
      <c r="B1991">
        <v>10</v>
      </c>
      <c r="C1991">
        <v>5</v>
      </c>
      <c r="D1991">
        <v>49</v>
      </c>
    </row>
    <row r="1992" spans="1:4" x14ac:dyDescent="0.3">
      <c r="A1992">
        <v>201</v>
      </c>
      <c r="B1992">
        <v>47</v>
      </c>
      <c r="C1992">
        <v>3</v>
      </c>
      <c r="D1992">
        <v>92</v>
      </c>
    </row>
    <row r="1993" spans="1:4" x14ac:dyDescent="0.3">
      <c r="A1993">
        <v>447</v>
      </c>
      <c r="B1993">
        <v>42</v>
      </c>
      <c r="C1993">
        <v>3</v>
      </c>
      <c r="D1993">
        <v>91</v>
      </c>
    </row>
    <row r="1994" spans="1:4" x14ac:dyDescent="0.3">
      <c r="A1994">
        <v>844</v>
      </c>
      <c r="B1994">
        <v>12</v>
      </c>
      <c r="C1994">
        <v>4</v>
      </c>
      <c r="D1994">
        <v>59</v>
      </c>
    </row>
    <row r="1995" spans="1:4" x14ac:dyDescent="0.3">
      <c r="A1995">
        <v>428</v>
      </c>
      <c r="B1995">
        <v>16</v>
      </c>
      <c r="C1995">
        <v>2</v>
      </c>
      <c r="D1995">
        <v>104</v>
      </c>
    </row>
    <row r="1996" spans="1:4" x14ac:dyDescent="0.3">
      <c r="A1996">
        <v>38</v>
      </c>
      <c r="B1996">
        <v>41</v>
      </c>
      <c r="C1996">
        <v>1</v>
      </c>
      <c r="D1996">
        <v>42</v>
      </c>
    </row>
    <row r="1997" spans="1:4" x14ac:dyDescent="0.3">
      <c r="A1997">
        <v>211</v>
      </c>
      <c r="B1997">
        <v>32</v>
      </c>
      <c r="C1997">
        <v>4</v>
      </c>
      <c r="D1997">
        <v>27</v>
      </c>
    </row>
    <row r="1998" spans="1:4" x14ac:dyDescent="0.3">
      <c r="A1998">
        <v>444</v>
      </c>
      <c r="B1998">
        <v>15</v>
      </c>
      <c r="C1998">
        <v>4</v>
      </c>
      <c r="D1998">
        <v>66</v>
      </c>
    </row>
    <row r="1999" spans="1:4" x14ac:dyDescent="0.3">
      <c r="A1999">
        <v>327</v>
      </c>
      <c r="B1999">
        <v>27</v>
      </c>
      <c r="C1999">
        <v>1</v>
      </c>
      <c r="D1999">
        <v>112</v>
      </c>
    </row>
    <row r="2000" spans="1:4" x14ac:dyDescent="0.3">
      <c r="A2000">
        <v>761</v>
      </c>
      <c r="B2000">
        <v>28</v>
      </c>
      <c r="C2000">
        <v>3</v>
      </c>
      <c r="D2000">
        <v>25</v>
      </c>
    </row>
    <row r="2001" spans="1:4" x14ac:dyDescent="0.3">
      <c r="A2001">
        <v>227</v>
      </c>
      <c r="B2001">
        <v>17</v>
      </c>
      <c r="C2001">
        <v>2</v>
      </c>
      <c r="D2001">
        <v>89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DE60-D7F5-4914-A483-C1241EEC598C}">
  <dimension ref="A1:C51"/>
  <sheetViews>
    <sheetView topLeftCell="A20" workbookViewId="0">
      <selection activeCell="H16" sqref="H16"/>
    </sheetView>
  </sheetViews>
  <sheetFormatPr defaultRowHeight="14.4" x14ac:dyDescent="0.3"/>
  <cols>
    <col min="1" max="1" width="12.21875" bestFit="1" customWidth="1"/>
    <col min="2" max="2" width="15.33203125" bestFit="1" customWidth="1"/>
    <col min="3" max="3" width="10.33203125" bestFit="1" customWidth="1"/>
  </cols>
  <sheetData>
    <row r="1" spans="1:3" x14ac:dyDescent="0.3">
      <c r="A1" t="s">
        <v>14</v>
      </c>
      <c r="B1" t="s">
        <v>17</v>
      </c>
      <c r="C1" t="s">
        <v>18</v>
      </c>
    </row>
    <row r="2" spans="1:3" x14ac:dyDescent="0.3">
      <c r="A2">
        <v>1</v>
      </c>
      <c r="B2" t="s">
        <v>19</v>
      </c>
      <c r="C2" t="s">
        <v>20</v>
      </c>
    </row>
    <row r="3" spans="1:3" x14ac:dyDescent="0.3">
      <c r="A3">
        <v>2</v>
      </c>
      <c r="B3" t="s">
        <v>21</v>
      </c>
      <c r="C3" t="s">
        <v>22</v>
      </c>
    </row>
    <row r="4" spans="1:3" x14ac:dyDescent="0.3">
      <c r="A4">
        <v>3</v>
      </c>
      <c r="B4" t="s">
        <v>23</v>
      </c>
      <c r="C4" t="s">
        <v>24</v>
      </c>
    </row>
    <row r="5" spans="1:3" x14ac:dyDescent="0.3">
      <c r="A5">
        <v>4</v>
      </c>
      <c r="B5" t="s">
        <v>25</v>
      </c>
      <c r="C5" t="s">
        <v>20</v>
      </c>
    </row>
    <row r="6" spans="1:3" x14ac:dyDescent="0.3">
      <c r="A6">
        <v>5</v>
      </c>
      <c r="B6" t="s">
        <v>26</v>
      </c>
      <c r="C6" t="s">
        <v>22</v>
      </c>
    </row>
    <row r="7" spans="1:3" x14ac:dyDescent="0.3">
      <c r="A7">
        <v>6</v>
      </c>
      <c r="B7" t="s">
        <v>27</v>
      </c>
      <c r="C7" t="s">
        <v>20</v>
      </c>
    </row>
    <row r="8" spans="1:3" x14ac:dyDescent="0.3">
      <c r="A8">
        <v>7</v>
      </c>
      <c r="B8" t="s">
        <v>28</v>
      </c>
      <c r="C8" t="s">
        <v>24</v>
      </c>
    </row>
    <row r="9" spans="1:3" x14ac:dyDescent="0.3">
      <c r="A9">
        <v>8</v>
      </c>
      <c r="B9" t="s">
        <v>29</v>
      </c>
      <c r="C9" t="s">
        <v>20</v>
      </c>
    </row>
    <row r="10" spans="1:3" x14ac:dyDescent="0.3">
      <c r="A10">
        <v>9</v>
      </c>
      <c r="B10" t="s">
        <v>30</v>
      </c>
      <c r="C10" t="s">
        <v>31</v>
      </c>
    </row>
    <row r="11" spans="1:3" x14ac:dyDescent="0.3">
      <c r="A11">
        <v>10</v>
      </c>
      <c r="B11" t="s">
        <v>32</v>
      </c>
      <c r="C11" t="s">
        <v>24</v>
      </c>
    </row>
    <row r="12" spans="1:3" x14ac:dyDescent="0.3">
      <c r="A12">
        <v>11</v>
      </c>
      <c r="B12" t="s">
        <v>33</v>
      </c>
      <c r="C12" t="s">
        <v>31</v>
      </c>
    </row>
    <row r="13" spans="1:3" x14ac:dyDescent="0.3">
      <c r="A13">
        <v>12</v>
      </c>
      <c r="B13" t="s">
        <v>34</v>
      </c>
      <c r="C13" t="s">
        <v>22</v>
      </c>
    </row>
    <row r="14" spans="1:3" x14ac:dyDescent="0.3">
      <c r="A14">
        <v>13</v>
      </c>
      <c r="B14" t="s">
        <v>35</v>
      </c>
      <c r="C14" t="s">
        <v>22</v>
      </c>
    </row>
    <row r="15" spans="1:3" x14ac:dyDescent="0.3">
      <c r="A15">
        <v>14</v>
      </c>
      <c r="B15" t="s">
        <v>36</v>
      </c>
      <c r="C15" t="s">
        <v>20</v>
      </c>
    </row>
    <row r="16" spans="1:3" x14ac:dyDescent="0.3">
      <c r="A16">
        <v>15</v>
      </c>
      <c r="B16" t="s">
        <v>37</v>
      </c>
      <c r="C16" t="s">
        <v>31</v>
      </c>
    </row>
    <row r="17" spans="1:3" x14ac:dyDescent="0.3">
      <c r="A17">
        <v>16</v>
      </c>
      <c r="B17" t="s">
        <v>38</v>
      </c>
      <c r="C17" t="s">
        <v>31</v>
      </c>
    </row>
    <row r="18" spans="1:3" x14ac:dyDescent="0.3">
      <c r="A18">
        <v>17</v>
      </c>
      <c r="B18" t="s">
        <v>39</v>
      </c>
      <c r="C18" t="s">
        <v>24</v>
      </c>
    </row>
    <row r="19" spans="1:3" x14ac:dyDescent="0.3">
      <c r="A19">
        <v>18</v>
      </c>
      <c r="B19" t="s">
        <v>40</v>
      </c>
      <c r="C19" t="s">
        <v>31</v>
      </c>
    </row>
    <row r="20" spans="1:3" x14ac:dyDescent="0.3">
      <c r="A20">
        <v>19</v>
      </c>
      <c r="B20" t="s">
        <v>41</v>
      </c>
      <c r="C20" t="s">
        <v>31</v>
      </c>
    </row>
    <row r="21" spans="1:3" x14ac:dyDescent="0.3">
      <c r="A21">
        <v>20</v>
      </c>
      <c r="B21" t="s">
        <v>42</v>
      </c>
      <c r="C21" t="s">
        <v>24</v>
      </c>
    </row>
    <row r="22" spans="1:3" x14ac:dyDescent="0.3">
      <c r="A22">
        <v>21</v>
      </c>
      <c r="B22" t="s">
        <v>43</v>
      </c>
      <c r="C22" t="s">
        <v>24</v>
      </c>
    </row>
    <row r="23" spans="1:3" x14ac:dyDescent="0.3">
      <c r="A23">
        <v>22</v>
      </c>
      <c r="B23" t="s">
        <v>44</v>
      </c>
      <c r="C23" t="s">
        <v>31</v>
      </c>
    </row>
    <row r="24" spans="1:3" x14ac:dyDescent="0.3">
      <c r="A24">
        <v>23</v>
      </c>
      <c r="B24" t="s">
        <v>45</v>
      </c>
      <c r="C24" t="s">
        <v>20</v>
      </c>
    </row>
    <row r="25" spans="1:3" x14ac:dyDescent="0.3">
      <c r="A25">
        <v>24</v>
      </c>
      <c r="B25" t="s">
        <v>46</v>
      </c>
      <c r="C25" t="s">
        <v>24</v>
      </c>
    </row>
    <row r="26" spans="1:3" x14ac:dyDescent="0.3">
      <c r="A26">
        <v>25</v>
      </c>
      <c r="B26" t="s">
        <v>47</v>
      </c>
      <c r="C26" t="s">
        <v>24</v>
      </c>
    </row>
    <row r="27" spans="1:3" x14ac:dyDescent="0.3">
      <c r="A27">
        <v>26</v>
      </c>
      <c r="B27" t="s">
        <v>48</v>
      </c>
      <c r="C27" t="s">
        <v>31</v>
      </c>
    </row>
    <row r="28" spans="1:3" x14ac:dyDescent="0.3">
      <c r="A28">
        <v>27</v>
      </c>
      <c r="B28" t="s">
        <v>49</v>
      </c>
      <c r="C28" t="s">
        <v>31</v>
      </c>
    </row>
    <row r="29" spans="1:3" x14ac:dyDescent="0.3">
      <c r="A29">
        <v>28</v>
      </c>
      <c r="B29" t="s">
        <v>50</v>
      </c>
      <c r="C29" t="s">
        <v>24</v>
      </c>
    </row>
    <row r="30" spans="1:3" x14ac:dyDescent="0.3">
      <c r="A30">
        <v>29</v>
      </c>
      <c r="B30" t="s">
        <v>51</v>
      </c>
      <c r="C30" t="s">
        <v>31</v>
      </c>
    </row>
    <row r="31" spans="1:3" x14ac:dyDescent="0.3">
      <c r="A31">
        <v>30</v>
      </c>
      <c r="B31" t="s">
        <v>52</v>
      </c>
      <c r="C31" t="s">
        <v>24</v>
      </c>
    </row>
    <row r="32" spans="1:3" x14ac:dyDescent="0.3">
      <c r="A32">
        <v>31</v>
      </c>
      <c r="B32" t="s">
        <v>53</v>
      </c>
      <c r="C32" t="s">
        <v>20</v>
      </c>
    </row>
    <row r="33" spans="1:3" x14ac:dyDescent="0.3">
      <c r="A33">
        <v>32</v>
      </c>
      <c r="B33" t="s">
        <v>54</v>
      </c>
      <c r="C33" t="s">
        <v>20</v>
      </c>
    </row>
    <row r="34" spans="1:3" x14ac:dyDescent="0.3">
      <c r="A34">
        <v>33</v>
      </c>
      <c r="B34" t="s">
        <v>55</v>
      </c>
      <c r="C34" t="s">
        <v>24</v>
      </c>
    </row>
    <row r="35" spans="1:3" x14ac:dyDescent="0.3">
      <c r="A35">
        <v>34</v>
      </c>
      <c r="B35" t="s">
        <v>56</v>
      </c>
      <c r="C35" t="s">
        <v>24</v>
      </c>
    </row>
    <row r="36" spans="1:3" x14ac:dyDescent="0.3">
      <c r="A36">
        <v>35</v>
      </c>
      <c r="B36" t="s">
        <v>57</v>
      </c>
      <c r="C36" t="s">
        <v>22</v>
      </c>
    </row>
    <row r="37" spans="1:3" x14ac:dyDescent="0.3">
      <c r="A37">
        <v>36</v>
      </c>
      <c r="B37" t="s">
        <v>58</v>
      </c>
      <c r="C37" t="s">
        <v>22</v>
      </c>
    </row>
    <row r="38" spans="1:3" x14ac:dyDescent="0.3">
      <c r="A38">
        <v>37</v>
      </c>
      <c r="B38" t="s">
        <v>59</v>
      </c>
      <c r="C38" t="s">
        <v>31</v>
      </c>
    </row>
    <row r="39" spans="1:3" x14ac:dyDescent="0.3">
      <c r="A39">
        <v>38</v>
      </c>
      <c r="B39" t="s">
        <v>60</v>
      </c>
      <c r="C39" t="s">
        <v>31</v>
      </c>
    </row>
    <row r="40" spans="1:3" x14ac:dyDescent="0.3">
      <c r="A40">
        <v>39</v>
      </c>
      <c r="B40" t="s">
        <v>61</v>
      </c>
      <c r="C40" t="s">
        <v>24</v>
      </c>
    </row>
    <row r="41" spans="1:3" x14ac:dyDescent="0.3">
      <c r="A41">
        <v>40</v>
      </c>
      <c r="B41" t="s">
        <v>62</v>
      </c>
      <c r="C41" t="s">
        <v>24</v>
      </c>
    </row>
    <row r="42" spans="1:3" x14ac:dyDescent="0.3">
      <c r="A42">
        <v>41</v>
      </c>
      <c r="B42" t="s">
        <v>63</v>
      </c>
      <c r="C42" t="s">
        <v>22</v>
      </c>
    </row>
    <row r="43" spans="1:3" x14ac:dyDescent="0.3">
      <c r="A43">
        <v>42</v>
      </c>
      <c r="B43" t="s">
        <v>64</v>
      </c>
      <c r="C43" t="s">
        <v>22</v>
      </c>
    </row>
    <row r="44" spans="1:3" x14ac:dyDescent="0.3">
      <c r="A44">
        <v>43</v>
      </c>
      <c r="B44" t="s">
        <v>65</v>
      </c>
      <c r="C44" t="s">
        <v>24</v>
      </c>
    </row>
    <row r="45" spans="1:3" x14ac:dyDescent="0.3">
      <c r="A45">
        <v>44</v>
      </c>
      <c r="B45" t="s">
        <v>66</v>
      </c>
      <c r="C45" t="s">
        <v>20</v>
      </c>
    </row>
    <row r="46" spans="1:3" x14ac:dyDescent="0.3">
      <c r="A46">
        <v>45</v>
      </c>
      <c r="B46" t="s">
        <v>67</v>
      </c>
      <c r="C46" t="s">
        <v>20</v>
      </c>
    </row>
    <row r="47" spans="1:3" x14ac:dyDescent="0.3">
      <c r="A47">
        <v>46</v>
      </c>
      <c r="B47" t="s">
        <v>68</v>
      </c>
      <c r="C47" t="s">
        <v>31</v>
      </c>
    </row>
    <row r="48" spans="1:3" x14ac:dyDescent="0.3">
      <c r="A48">
        <v>47</v>
      </c>
      <c r="B48" t="s">
        <v>69</v>
      </c>
      <c r="C48" t="s">
        <v>24</v>
      </c>
    </row>
    <row r="49" spans="1:3" x14ac:dyDescent="0.3">
      <c r="A49">
        <v>48</v>
      </c>
      <c r="B49" t="s">
        <v>70</v>
      </c>
      <c r="C49" t="s">
        <v>24</v>
      </c>
    </row>
    <row r="50" spans="1:3" x14ac:dyDescent="0.3">
      <c r="A50">
        <v>49</v>
      </c>
      <c r="B50" t="s">
        <v>71</v>
      </c>
      <c r="C50" t="s">
        <v>31</v>
      </c>
    </row>
    <row r="51" spans="1:3" x14ac:dyDescent="0.3">
      <c r="A51">
        <v>50</v>
      </c>
      <c r="B51" t="s">
        <v>72</v>
      </c>
      <c r="C51" t="s">
        <v>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FCC2-FEA6-4DF7-BFA3-4047BAA3BD39}">
  <dimension ref="A1:M1626"/>
  <sheetViews>
    <sheetView topLeftCell="A2" workbookViewId="0">
      <selection activeCell="G30" sqref="G30"/>
    </sheetView>
  </sheetViews>
  <sheetFormatPr defaultRowHeight="14.4" x14ac:dyDescent="0.3"/>
  <cols>
    <col min="1" max="1" width="10.109375" bestFit="1" customWidth="1"/>
    <col min="2" max="2" width="12.21875" bestFit="1" customWidth="1"/>
    <col min="3" max="3" width="10.109375" bestFit="1" customWidth="1"/>
    <col min="4" max="4" width="7.5546875" bestFit="1" customWidth="1"/>
    <col min="5" max="5" width="10.21875" bestFit="1" customWidth="1"/>
    <col min="6" max="6" width="13.5546875" bestFit="1" customWidth="1"/>
    <col min="7" max="7" width="12.21875" bestFit="1" customWidth="1"/>
    <col min="8" max="8" width="9.77734375" bestFit="1" customWidth="1"/>
    <col min="9" max="9" width="6.77734375" bestFit="1" customWidth="1"/>
    <col min="10" max="10" width="8.5546875" bestFit="1" customWidth="1"/>
    <col min="13" max="13" width="22.21875" bestFit="1" customWidth="1"/>
    <col min="20" max="20" width="14" bestFit="1" customWidth="1"/>
  </cols>
  <sheetData>
    <row r="1" spans="1:13" x14ac:dyDescent="0.3">
      <c r="A1" t="s">
        <v>8</v>
      </c>
      <c r="B1" t="s">
        <v>14</v>
      </c>
      <c r="C1" t="s">
        <v>15</v>
      </c>
      <c r="D1" t="s">
        <v>16</v>
      </c>
      <c r="E1" t="s">
        <v>73</v>
      </c>
      <c r="F1" t="s">
        <v>0</v>
      </c>
      <c r="G1" t="s">
        <v>9</v>
      </c>
      <c r="H1" t="s">
        <v>10</v>
      </c>
      <c r="I1" t="s">
        <v>74</v>
      </c>
      <c r="J1" t="s">
        <v>75</v>
      </c>
    </row>
    <row r="2" spans="1:13" x14ac:dyDescent="0.3">
      <c r="A2">
        <v>290</v>
      </c>
      <c r="B2">
        <v>18</v>
      </c>
      <c r="C2">
        <v>2</v>
      </c>
      <c r="D2">
        <v>93</v>
      </c>
      <c r="E2">
        <v>186</v>
      </c>
      <c r="F2">
        <v>256</v>
      </c>
      <c r="G2" s="1">
        <v>45530</v>
      </c>
      <c r="H2" t="s">
        <v>11</v>
      </c>
      <c r="I2">
        <v>2024</v>
      </c>
      <c r="J2">
        <v>8</v>
      </c>
    </row>
    <row r="3" spans="1:13" x14ac:dyDescent="0.3">
      <c r="A3">
        <v>290</v>
      </c>
      <c r="B3">
        <v>20</v>
      </c>
      <c r="C3">
        <v>4</v>
      </c>
      <c r="D3">
        <v>102</v>
      </c>
      <c r="E3">
        <v>408</v>
      </c>
      <c r="F3">
        <v>256</v>
      </c>
      <c r="G3" s="1">
        <v>45530</v>
      </c>
      <c r="H3" t="s">
        <v>11</v>
      </c>
      <c r="I3">
        <v>2024</v>
      </c>
      <c r="J3">
        <v>8</v>
      </c>
    </row>
    <row r="4" spans="1:13" x14ac:dyDescent="0.3">
      <c r="A4">
        <v>290</v>
      </c>
      <c r="B4">
        <v>19</v>
      </c>
      <c r="C4">
        <v>1</v>
      </c>
      <c r="D4">
        <v>25</v>
      </c>
      <c r="E4">
        <v>25</v>
      </c>
      <c r="F4">
        <v>256</v>
      </c>
      <c r="G4" s="1">
        <v>45530</v>
      </c>
      <c r="H4" t="s">
        <v>11</v>
      </c>
      <c r="I4">
        <v>2024</v>
      </c>
      <c r="J4">
        <v>8</v>
      </c>
    </row>
    <row r="5" spans="1:13" x14ac:dyDescent="0.3">
      <c r="A5">
        <v>295</v>
      </c>
      <c r="B5">
        <v>16</v>
      </c>
      <c r="C5">
        <v>2</v>
      </c>
      <c r="D5">
        <v>27</v>
      </c>
      <c r="E5">
        <v>54</v>
      </c>
      <c r="F5">
        <v>54</v>
      </c>
      <c r="G5" s="1">
        <v>45468</v>
      </c>
      <c r="H5" t="s">
        <v>11</v>
      </c>
      <c r="I5">
        <v>2024</v>
      </c>
      <c r="J5">
        <v>6</v>
      </c>
    </row>
    <row r="6" spans="1:13" x14ac:dyDescent="0.3">
      <c r="A6">
        <v>295</v>
      </c>
      <c r="B6">
        <v>13</v>
      </c>
      <c r="C6">
        <v>3</v>
      </c>
      <c r="D6">
        <v>48</v>
      </c>
      <c r="E6">
        <v>144</v>
      </c>
      <c r="F6">
        <v>54</v>
      </c>
      <c r="G6" s="1">
        <v>45468</v>
      </c>
      <c r="H6" t="s">
        <v>11</v>
      </c>
      <c r="I6">
        <v>2024</v>
      </c>
      <c r="J6">
        <v>6</v>
      </c>
    </row>
    <row r="7" spans="1:13" x14ac:dyDescent="0.3">
      <c r="A7">
        <v>295</v>
      </c>
      <c r="B7">
        <v>24</v>
      </c>
      <c r="C7">
        <v>1</v>
      </c>
      <c r="D7">
        <v>19</v>
      </c>
      <c r="E7">
        <v>19</v>
      </c>
      <c r="F7">
        <v>54</v>
      </c>
      <c r="G7" s="1">
        <v>45468</v>
      </c>
      <c r="H7" t="s">
        <v>11</v>
      </c>
      <c r="I7">
        <v>2024</v>
      </c>
      <c r="J7">
        <v>6</v>
      </c>
    </row>
    <row r="8" spans="1:13" x14ac:dyDescent="0.3">
      <c r="A8">
        <v>295</v>
      </c>
      <c r="B8">
        <v>37</v>
      </c>
      <c r="C8">
        <v>4</v>
      </c>
      <c r="D8">
        <v>112</v>
      </c>
      <c r="E8">
        <v>448</v>
      </c>
      <c r="F8">
        <v>54</v>
      </c>
      <c r="G8" s="1">
        <v>45468</v>
      </c>
      <c r="H8" t="s">
        <v>11</v>
      </c>
      <c r="I8">
        <v>2024</v>
      </c>
      <c r="J8">
        <v>6</v>
      </c>
    </row>
    <row r="9" spans="1:13" x14ac:dyDescent="0.3">
      <c r="A9">
        <v>451</v>
      </c>
      <c r="B9">
        <v>39</v>
      </c>
      <c r="C9">
        <v>2</v>
      </c>
      <c r="D9">
        <v>54</v>
      </c>
      <c r="E9">
        <v>108</v>
      </c>
      <c r="F9">
        <v>152</v>
      </c>
      <c r="G9" s="1">
        <v>45404</v>
      </c>
      <c r="H9" t="s">
        <v>11</v>
      </c>
      <c r="I9">
        <v>2024</v>
      </c>
      <c r="J9">
        <v>4</v>
      </c>
      <c r="M9" t="s">
        <v>86</v>
      </c>
    </row>
    <row r="10" spans="1:13" x14ac:dyDescent="0.3">
      <c r="A10">
        <v>451</v>
      </c>
      <c r="B10">
        <v>23</v>
      </c>
      <c r="C10">
        <v>5</v>
      </c>
      <c r="D10">
        <v>69</v>
      </c>
      <c r="E10">
        <v>345</v>
      </c>
      <c r="F10">
        <v>152</v>
      </c>
      <c r="G10" s="1">
        <v>45404</v>
      </c>
      <c r="H10" t="s">
        <v>11</v>
      </c>
      <c r="I10">
        <v>2024</v>
      </c>
      <c r="J10">
        <v>4</v>
      </c>
      <c r="M10">
        <v>695</v>
      </c>
    </row>
    <row r="11" spans="1:13" x14ac:dyDescent="0.3">
      <c r="A11">
        <v>451</v>
      </c>
      <c r="B11">
        <v>15</v>
      </c>
      <c r="C11">
        <v>2</v>
      </c>
      <c r="D11">
        <v>105</v>
      </c>
      <c r="E11">
        <v>210</v>
      </c>
      <c r="F11">
        <v>152</v>
      </c>
      <c r="G11" s="1">
        <v>45404</v>
      </c>
      <c r="H11" t="s">
        <v>11</v>
      </c>
      <c r="I11">
        <v>2024</v>
      </c>
      <c r="J11">
        <v>4</v>
      </c>
    </row>
    <row r="12" spans="1:13" x14ac:dyDescent="0.3">
      <c r="A12">
        <v>451</v>
      </c>
      <c r="B12">
        <v>22</v>
      </c>
      <c r="C12">
        <v>4</v>
      </c>
      <c r="D12">
        <v>67</v>
      </c>
      <c r="E12">
        <v>268</v>
      </c>
      <c r="F12">
        <v>152</v>
      </c>
      <c r="G12" s="1">
        <v>45404</v>
      </c>
      <c r="H12" t="s">
        <v>11</v>
      </c>
      <c r="I12">
        <v>2024</v>
      </c>
      <c r="J12">
        <v>4</v>
      </c>
    </row>
    <row r="13" spans="1:13" x14ac:dyDescent="0.3">
      <c r="A13">
        <v>451</v>
      </c>
      <c r="B13">
        <v>27</v>
      </c>
      <c r="C13">
        <v>1</v>
      </c>
      <c r="D13">
        <v>68</v>
      </c>
      <c r="E13">
        <v>68</v>
      </c>
      <c r="F13">
        <v>152</v>
      </c>
      <c r="G13" s="1">
        <v>45404</v>
      </c>
      <c r="H13" t="s">
        <v>11</v>
      </c>
      <c r="I13">
        <v>2024</v>
      </c>
      <c r="J13">
        <v>4</v>
      </c>
    </row>
    <row r="14" spans="1:13" x14ac:dyDescent="0.3">
      <c r="A14">
        <v>904</v>
      </c>
      <c r="B14">
        <v>4</v>
      </c>
      <c r="C14">
        <v>4</v>
      </c>
      <c r="D14">
        <v>117</v>
      </c>
      <c r="E14">
        <v>468</v>
      </c>
      <c r="F14">
        <v>159</v>
      </c>
      <c r="G14" s="1">
        <v>45573</v>
      </c>
      <c r="H14" t="s">
        <v>11</v>
      </c>
      <c r="I14">
        <v>2024</v>
      </c>
      <c r="J14">
        <v>10</v>
      </c>
    </row>
    <row r="15" spans="1:13" x14ac:dyDescent="0.3">
      <c r="A15">
        <v>904</v>
      </c>
      <c r="B15">
        <v>14</v>
      </c>
      <c r="C15">
        <v>5</v>
      </c>
      <c r="D15">
        <v>39</v>
      </c>
      <c r="E15">
        <v>195</v>
      </c>
      <c r="F15">
        <v>159</v>
      </c>
      <c r="G15" s="1">
        <v>45573</v>
      </c>
      <c r="H15" t="s">
        <v>11</v>
      </c>
      <c r="I15">
        <v>2024</v>
      </c>
      <c r="J15">
        <v>10</v>
      </c>
    </row>
    <row r="16" spans="1:13" x14ac:dyDescent="0.3">
      <c r="A16">
        <v>904</v>
      </c>
      <c r="B16">
        <v>7</v>
      </c>
      <c r="C16">
        <v>1</v>
      </c>
      <c r="D16">
        <v>96</v>
      </c>
      <c r="E16">
        <v>96</v>
      </c>
      <c r="F16">
        <v>159</v>
      </c>
      <c r="G16" s="1">
        <v>45573</v>
      </c>
      <c r="H16" t="s">
        <v>11</v>
      </c>
      <c r="I16">
        <v>2024</v>
      </c>
      <c r="J16">
        <v>10</v>
      </c>
    </row>
    <row r="17" spans="1:10" x14ac:dyDescent="0.3">
      <c r="A17">
        <v>215</v>
      </c>
      <c r="B17">
        <v>25</v>
      </c>
      <c r="C17">
        <v>2</v>
      </c>
      <c r="D17">
        <v>100</v>
      </c>
      <c r="E17">
        <v>200</v>
      </c>
      <c r="F17">
        <v>60</v>
      </c>
      <c r="G17" s="1">
        <v>45630</v>
      </c>
      <c r="H17" t="s">
        <v>11</v>
      </c>
      <c r="I17">
        <v>2024</v>
      </c>
      <c r="J17">
        <v>12</v>
      </c>
    </row>
    <row r="18" spans="1:10" x14ac:dyDescent="0.3">
      <c r="A18">
        <v>215</v>
      </c>
      <c r="B18">
        <v>11</v>
      </c>
      <c r="C18">
        <v>1</v>
      </c>
      <c r="D18">
        <v>31</v>
      </c>
      <c r="E18">
        <v>31</v>
      </c>
      <c r="F18">
        <v>60</v>
      </c>
      <c r="G18" s="1">
        <v>45630</v>
      </c>
      <c r="H18" t="s">
        <v>11</v>
      </c>
      <c r="I18">
        <v>2024</v>
      </c>
      <c r="J18">
        <v>12</v>
      </c>
    </row>
    <row r="19" spans="1:10" x14ac:dyDescent="0.3">
      <c r="A19">
        <v>215</v>
      </c>
      <c r="B19">
        <v>26</v>
      </c>
      <c r="C19">
        <v>3</v>
      </c>
      <c r="D19">
        <v>42</v>
      </c>
      <c r="E19">
        <v>126</v>
      </c>
      <c r="F19">
        <v>60</v>
      </c>
      <c r="G19" s="1">
        <v>45630</v>
      </c>
      <c r="H19" t="s">
        <v>11</v>
      </c>
      <c r="I19">
        <v>2024</v>
      </c>
      <c r="J19">
        <v>12</v>
      </c>
    </row>
    <row r="20" spans="1:10" x14ac:dyDescent="0.3">
      <c r="A20">
        <v>215</v>
      </c>
      <c r="B20">
        <v>12</v>
      </c>
      <c r="C20">
        <v>2</v>
      </c>
      <c r="D20">
        <v>81</v>
      </c>
      <c r="E20">
        <v>162</v>
      </c>
      <c r="F20">
        <v>60</v>
      </c>
      <c r="G20" s="1">
        <v>45630</v>
      </c>
      <c r="H20" t="s">
        <v>11</v>
      </c>
      <c r="I20">
        <v>2024</v>
      </c>
      <c r="J20">
        <v>12</v>
      </c>
    </row>
    <row r="21" spans="1:10" x14ac:dyDescent="0.3">
      <c r="A21">
        <v>974</v>
      </c>
      <c r="B21">
        <v>32</v>
      </c>
      <c r="C21">
        <v>5</v>
      </c>
      <c r="D21">
        <v>68</v>
      </c>
      <c r="E21">
        <v>340</v>
      </c>
      <c r="F21">
        <v>152</v>
      </c>
      <c r="G21" s="1">
        <v>45338</v>
      </c>
      <c r="H21" t="s">
        <v>11</v>
      </c>
      <c r="I21">
        <v>2024</v>
      </c>
      <c r="J21">
        <v>2</v>
      </c>
    </row>
    <row r="22" spans="1:10" x14ac:dyDescent="0.3">
      <c r="A22">
        <v>974</v>
      </c>
      <c r="B22">
        <v>49</v>
      </c>
      <c r="C22">
        <v>2</v>
      </c>
      <c r="D22">
        <v>90</v>
      </c>
      <c r="E22">
        <v>180</v>
      </c>
      <c r="F22">
        <v>152</v>
      </c>
      <c r="G22" s="1">
        <v>45338</v>
      </c>
      <c r="H22" t="s">
        <v>11</v>
      </c>
      <c r="I22">
        <v>2024</v>
      </c>
      <c r="J22">
        <v>2</v>
      </c>
    </row>
    <row r="23" spans="1:10" x14ac:dyDescent="0.3">
      <c r="A23">
        <v>974</v>
      </c>
      <c r="B23">
        <v>49</v>
      </c>
      <c r="C23">
        <v>5</v>
      </c>
      <c r="D23">
        <v>40</v>
      </c>
      <c r="E23">
        <v>200</v>
      </c>
      <c r="F23">
        <v>152</v>
      </c>
      <c r="G23" s="1">
        <v>45338</v>
      </c>
      <c r="H23" t="s">
        <v>11</v>
      </c>
      <c r="I23">
        <v>2024</v>
      </c>
      <c r="J23">
        <v>2</v>
      </c>
    </row>
    <row r="24" spans="1:10" x14ac:dyDescent="0.3">
      <c r="A24">
        <v>974</v>
      </c>
      <c r="B24">
        <v>25</v>
      </c>
      <c r="C24">
        <v>4</v>
      </c>
      <c r="D24">
        <v>118</v>
      </c>
      <c r="E24">
        <v>472</v>
      </c>
      <c r="F24">
        <v>152</v>
      </c>
      <c r="G24" s="1">
        <v>45338</v>
      </c>
      <c r="H24" t="s">
        <v>11</v>
      </c>
      <c r="I24">
        <v>2024</v>
      </c>
      <c r="J24">
        <v>2</v>
      </c>
    </row>
    <row r="25" spans="1:10" x14ac:dyDescent="0.3">
      <c r="A25">
        <v>974</v>
      </c>
      <c r="B25">
        <v>46</v>
      </c>
      <c r="C25">
        <v>1</v>
      </c>
      <c r="D25">
        <v>56</v>
      </c>
      <c r="E25">
        <v>56</v>
      </c>
      <c r="F25">
        <v>152</v>
      </c>
      <c r="G25" s="1">
        <v>45338</v>
      </c>
      <c r="H25" t="s">
        <v>11</v>
      </c>
      <c r="I25">
        <v>2024</v>
      </c>
      <c r="J25">
        <v>2</v>
      </c>
    </row>
    <row r="26" spans="1:10" x14ac:dyDescent="0.3">
      <c r="A26">
        <v>894</v>
      </c>
      <c r="B26">
        <v>13</v>
      </c>
      <c r="C26">
        <v>4</v>
      </c>
      <c r="D26">
        <v>68</v>
      </c>
      <c r="E26">
        <v>272</v>
      </c>
      <c r="F26">
        <v>97</v>
      </c>
      <c r="G26" s="1">
        <v>45515</v>
      </c>
      <c r="H26" t="s">
        <v>11</v>
      </c>
      <c r="I26">
        <v>2024</v>
      </c>
      <c r="J26">
        <v>8</v>
      </c>
    </row>
    <row r="27" spans="1:10" x14ac:dyDescent="0.3">
      <c r="A27">
        <v>567</v>
      </c>
      <c r="B27">
        <v>45</v>
      </c>
      <c r="C27">
        <v>2</v>
      </c>
      <c r="D27">
        <v>58</v>
      </c>
      <c r="E27">
        <v>116</v>
      </c>
      <c r="F27">
        <v>272</v>
      </c>
      <c r="G27" s="1">
        <v>45363</v>
      </c>
      <c r="H27" t="s">
        <v>11</v>
      </c>
      <c r="I27">
        <v>2024</v>
      </c>
      <c r="J27">
        <v>3</v>
      </c>
    </row>
    <row r="28" spans="1:10" x14ac:dyDescent="0.3">
      <c r="A28">
        <v>567</v>
      </c>
      <c r="B28">
        <v>20</v>
      </c>
      <c r="C28">
        <v>1</v>
      </c>
      <c r="D28">
        <v>32</v>
      </c>
      <c r="E28">
        <v>32</v>
      </c>
      <c r="F28">
        <v>272</v>
      </c>
      <c r="G28" s="1">
        <v>45363</v>
      </c>
      <c r="H28" t="s">
        <v>11</v>
      </c>
      <c r="I28">
        <v>2024</v>
      </c>
      <c r="J28">
        <v>3</v>
      </c>
    </row>
    <row r="29" spans="1:10" x14ac:dyDescent="0.3">
      <c r="A29">
        <v>567</v>
      </c>
      <c r="B29">
        <v>47</v>
      </c>
      <c r="C29">
        <v>1</v>
      </c>
      <c r="D29">
        <v>35</v>
      </c>
      <c r="E29">
        <v>35</v>
      </c>
      <c r="F29">
        <v>272</v>
      </c>
      <c r="G29" s="1">
        <v>45363</v>
      </c>
      <c r="H29" t="s">
        <v>11</v>
      </c>
      <c r="I29">
        <v>2024</v>
      </c>
      <c r="J29">
        <v>3</v>
      </c>
    </row>
    <row r="30" spans="1:10" x14ac:dyDescent="0.3">
      <c r="A30">
        <v>567</v>
      </c>
      <c r="B30">
        <v>17</v>
      </c>
      <c r="C30">
        <v>2</v>
      </c>
      <c r="D30">
        <v>38</v>
      </c>
      <c r="E30">
        <v>76</v>
      </c>
      <c r="F30">
        <v>272</v>
      </c>
      <c r="G30" s="1">
        <v>45363</v>
      </c>
      <c r="H30" t="s">
        <v>11</v>
      </c>
      <c r="I30">
        <v>2024</v>
      </c>
      <c r="J30">
        <v>3</v>
      </c>
    </row>
    <row r="31" spans="1:10" x14ac:dyDescent="0.3">
      <c r="A31">
        <v>27</v>
      </c>
      <c r="B31">
        <v>17</v>
      </c>
      <c r="C31">
        <v>1</v>
      </c>
      <c r="D31">
        <v>109</v>
      </c>
      <c r="E31">
        <v>109</v>
      </c>
      <c r="F31">
        <v>271</v>
      </c>
      <c r="G31" s="1">
        <v>45640</v>
      </c>
      <c r="H31" t="s">
        <v>11</v>
      </c>
      <c r="I31">
        <v>2024</v>
      </c>
      <c r="J31">
        <v>12</v>
      </c>
    </row>
    <row r="32" spans="1:10" x14ac:dyDescent="0.3">
      <c r="A32">
        <v>27</v>
      </c>
      <c r="B32">
        <v>45</v>
      </c>
      <c r="C32">
        <v>3</v>
      </c>
      <c r="D32">
        <v>82</v>
      </c>
      <c r="E32">
        <v>246</v>
      </c>
      <c r="F32">
        <v>271</v>
      </c>
      <c r="G32" s="1">
        <v>45640</v>
      </c>
      <c r="H32" t="s">
        <v>11</v>
      </c>
      <c r="I32">
        <v>2024</v>
      </c>
      <c r="J32">
        <v>12</v>
      </c>
    </row>
    <row r="33" spans="1:10" x14ac:dyDescent="0.3">
      <c r="A33">
        <v>630</v>
      </c>
      <c r="B33">
        <v>49</v>
      </c>
      <c r="C33">
        <v>3</v>
      </c>
      <c r="D33">
        <v>72</v>
      </c>
      <c r="E33">
        <v>216</v>
      </c>
      <c r="F33">
        <v>288</v>
      </c>
      <c r="G33" s="1">
        <v>45469</v>
      </c>
      <c r="H33" t="s">
        <v>11</v>
      </c>
      <c r="I33">
        <v>2024</v>
      </c>
      <c r="J33">
        <v>6</v>
      </c>
    </row>
    <row r="34" spans="1:10" x14ac:dyDescent="0.3">
      <c r="A34">
        <v>630</v>
      </c>
      <c r="B34">
        <v>24</v>
      </c>
      <c r="C34">
        <v>1</v>
      </c>
      <c r="D34">
        <v>92</v>
      </c>
      <c r="E34">
        <v>92</v>
      </c>
      <c r="F34">
        <v>288</v>
      </c>
      <c r="G34" s="1">
        <v>45469</v>
      </c>
      <c r="H34" t="s">
        <v>11</v>
      </c>
      <c r="I34">
        <v>2024</v>
      </c>
      <c r="J34">
        <v>6</v>
      </c>
    </row>
    <row r="35" spans="1:10" x14ac:dyDescent="0.3">
      <c r="A35">
        <v>630</v>
      </c>
      <c r="B35">
        <v>18</v>
      </c>
      <c r="C35">
        <v>1</v>
      </c>
      <c r="D35">
        <v>18</v>
      </c>
      <c r="E35">
        <v>18</v>
      </c>
      <c r="F35">
        <v>288</v>
      </c>
      <c r="G35" s="1">
        <v>45469</v>
      </c>
      <c r="H35" t="s">
        <v>11</v>
      </c>
      <c r="I35">
        <v>2024</v>
      </c>
      <c r="J35">
        <v>6</v>
      </c>
    </row>
    <row r="36" spans="1:10" x14ac:dyDescent="0.3">
      <c r="A36">
        <v>733</v>
      </c>
      <c r="B36">
        <v>37</v>
      </c>
      <c r="C36">
        <v>2</v>
      </c>
      <c r="D36">
        <v>96</v>
      </c>
      <c r="E36">
        <v>192</v>
      </c>
      <c r="F36">
        <v>216</v>
      </c>
      <c r="G36" s="1">
        <v>45305</v>
      </c>
      <c r="H36" t="s">
        <v>11</v>
      </c>
      <c r="I36">
        <v>2024</v>
      </c>
      <c r="J36">
        <v>1</v>
      </c>
    </row>
    <row r="37" spans="1:10" x14ac:dyDescent="0.3">
      <c r="A37">
        <v>733</v>
      </c>
      <c r="B37">
        <v>4</v>
      </c>
      <c r="C37">
        <v>5</v>
      </c>
      <c r="D37">
        <v>86</v>
      </c>
      <c r="E37">
        <v>430</v>
      </c>
      <c r="F37">
        <v>216</v>
      </c>
      <c r="G37" s="1">
        <v>45305</v>
      </c>
      <c r="H37" t="s">
        <v>11</v>
      </c>
      <c r="I37">
        <v>2024</v>
      </c>
      <c r="J37">
        <v>1</v>
      </c>
    </row>
    <row r="38" spans="1:10" x14ac:dyDescent="0.3">
      <c r="A38">
        <v>733</v>
      </c>
      <c r="B38">
        <v>49</v>
      </c>
      <c r="C38">
        <v>1</v>
      </c>
      <c r="D38">
        <v>58</v>
      </c>
      <c r="E38">
        <v>58</v>
      </c>
      <c r="F38">
        <v>216</v>
      </c>
      <c r="G38" s="1">
        <v>45305</v>
      </c>
      <c r="H38" t="s">
        <v>11</v>
      </c>
      <c r="I38">
        <v>2024</v>
      </c>
      <c r="J38">
        <v>1</v>
      </c>
    </row>
    <row r="39" spans="1:10" x14ac:dyDescent="0.3">
      <c r="A39">
        <v>231</v>
      </c>
      <c r="B39">
        <v>6</v>
      </c>
      <c r="C39">
        <v>1</v>
      </c>
      <c r="D39">
        <v>41</v>
      </c>
      <c r="E39">
        <v>41</v>
      </c>
      <c r="F39">
        <v>116</v>
      </c>
      <c r="G39" s="1">
        <v>45557</v>
      </c>
      <c r="H39" t="s">
        <v>11</v>
      </c>
      <c r="I39">
        <v>2024</v>
      </c>
      <c r="J39">
        <v>9</v>
      </c>
    </row>
    <row r="40" spans="1:10" x14ac:dyDescent="0.3">
      <c r="A40">
        <v>565</v>
      </c>
      <c r="B40">
        <v>19</v>
      </c>
      <c r="C40">
        <v>5</v>
      </c>
      <c r="D40">
        <v>19</v>
      </c>
      <c r="E40">
        <v>95</v>
      </c>
      <c r="F40">
        <v>12</v>
      </c>
      <c r="G40" s="1">
        <v>45408</v>
      </c>
      <c r="H40" t="s">
        <v>11</v>
      </c>
      <c r="I40">
        <v>2024</v>
      </c>
      <c r="J40">
        <v>4</v>
      </c>
    </row>
    <row r="41" spans="1:10" x14ac:dyDescent="0.3">
      <c r="A41">
        <v>565</v>
      </c>
      <c r="B41">
        <v>25</v>
      </c>
      <c r="C41">
        <v>4</v>
      </c>
      <c r="D41">
        <v>42</v>
      </c>
      <c r="E41">
        <v>168</v>
      </c>
      <c r="F41">
        <v>12</v>
      </c>
      <c r="G41" s="1">
        <v>45408</v>
      </c>
      <c r="H41" t="s">
        <v>11</v>
      </c>
      <c r="I41">
        <v>2024</v>
      </c>
      <c r="J41">
        <v>4</v>
      </c>
    </row>
    <row r="42" spans="1:10" x14ac:dyDescent="0.3">
      <c r="A42">
        <v>565</v>
      </c>
      <c r="B42">
        <v>43</v>
      </c>
      <c r="C42">
        <v>3</v>
      </c>
      <c r="D42">
        <v>58</v>
      </c>
      <c r="E42">
        <v>174</v>
      </c>
      <c r="F42">
        <v>12</v>
      </c>
      <c r="G42" s="1">
        <v>45408</v>
      </c>
      <c r="H42" t="s">
        <v>11</v>
      </c>
      <c r="I42">
        <v>2024</v>
      </c>
      <c r="J42">
        <v>4</v>
      </c>
    </row>
    <row r="43" spans="1:10" x14ac:dyDescent="0.3">
      <c r="A43">
        <v>807</v>
      </c>
      <c r="B43">
        <v>13</v>
      </c>
      <c r="C43">
        <v>3</v>
      </c>
      <c r="D43">
        <v>20</v>
      </c>
      <c r="E43">
        <v>60</v>
      </c>
      <c r="F43">
        <v>203</v>
      </c>
      <c r="G43" s="1">
        <v>45597</v>
      </c>
      <c r="H43" t="s">
        <v>11</v>
      </c>
      <c r="I43">
        <v>2024</v>
      </c>
      <c r="J43">
        <v>11</v>
      </c>
    </row>
    <row r="44" spans="1:10" x14ac:dyDescent="0.3">
      <c r="A44">
        <v>807</v>
      </c>
      <c r="B44">
        <v>13</v>
      </c>
      <c r="C44">
        <v>2</v>
      </c>
      <c r="D44">
        <v>68</v>
      </c>
      <c r="E44">
        <v>136</v>
      </c>
      <c r="F44">
        <v>203</v>
      </c>
      <c r="G44" s="1">
        <v>45597</v>
      </c>
      <c r="H44" t="s">
        <v>11</v>
      </c>
      <c r="I44">
        <v>2024</v>
      </c>
      <c r="J44">
        <v>11</v>
      </c>
    </row>
    <row r="45" spans="1:10" x14ac:dyDescent="0.3">
      <c r="A45">
        <v>807</v>
      </c>
      <c r="B45">
        <v>24</v>
      </c>
      <c r="C45">
        <v>1</v>
      </c>
      <c r="D45">
        <v>24</v>
      </c>
      <c r="E45">
        <v>24</v>
      </c>
      <c r="F45">
        <v>203</v>
      </c>
      <c r="G45" s="1">
        <v>45597</v>
      </c>
      <c r="H45" t="s">
        <v>11</v>
      </c>
      <c r="I45">
        <v>2024</v>
      </c>
      <c r="J45">
        <v>11</v>
      </c>
    </row>
    <row r="46" spans="1:10" x14ac:dyDescent="0.3">
      <c r="A46">
        <v>321</v>
      </c>
      <c r="B46">
        <v>26</v>
      </c>
      <c r="C46">
        <v>5</v>
      </c>
      <c r="D46">
        <v>111</v>
      </c>
      <c r="E46">
        <v>555</v>
      </c>
      <c r="F46">
        <v>288</v>
      </c>
      <c r="G46" s="1">
        <v>45490</v>
      </c>
      <c r="H46" t="s">
        <v>11</v>
      </c>
      <c r="I46">
        <v>2024</v>
      </c>
      <c r="J46">
        <v>7</v>
      </c>
    </row>
    <row r="47" spans="1:10" x14ac:dyDescent="0.3">
      <c r="A47">
        <v>913</v>
      </c>
      <c r="B47">
        <v>14</v>
      </c>
      <c r="C47">
        <v>1</v>
      </c>
      <c r="D47">
        <v>79</v>
      </c>
      <c r="E47">
        <v>79</v>
      </c>
      <c r="F47">
        <v>47</v>
      </c>
      <c r="G47" s="1">
        <v>45595</v>
      </c>
      <c r="H47" t="s">
        <v>11</v>
      </c>
      <c r="I47">
        <v>2024</v>
      </c>
      <c r="J47">
        <v>10</v>
      </c>
    </row>
    <row r="48" spans="1:10" x14ac:dyDescent="0.3">
      <c r="A48">
        <v>913</v>
      </c>
      <c r="B48">
        <v>6</v>
      </c>
      <c r="C48">
        <v>3</v>
      </c>
      <c r="D48">
        <v>20</v>
      </c>
      <c r="E48">
        <v>60</v>
      </c>
      <c r="F48">
        <v>47</v>
      </c>
      <c r="G48" s="1">
        <v>45595</v>
      </c>
      <c r="H48" t="s">
        <v>11</v>
      </c>
      <c r="I48">
        <v>2024</v>
      </c>
      <c r="J48">
        <v>10</v>
      </c>
    </row>
    <row r="49" spans="1:10" x14ac:dyDescent="0.3">
      <c r="A49">
        <v>913</v>
      </c>
      <c r="B49">
        <v>31</v>
      </c>
      <c r="C49">
        <v>1</v>
      </c>
      <c r="D49">
        <v>85</v>
      </c>
      <c r="E49">
        <v>85</v>
      </c>
      <c r="F49">
        <v>47</v>
      </c>
      <c r="G49" s="1">
        <v>45595</v>
      </c>
      <c r="H49" t="s">
        <v>11</v>
      </c>
      <c r="I49">
        <v>2024</v>
      </c>
      <c r="J49">
        <v>10</v>
      </c>
    </row>
    <row r="50" spans="1:10" x14ac:dyDescent="0.3">
      <c r="A50">
        <v>233</v>
      </c>
      <c r="B50">
        <v>31</v>
      </c>
      <c r="C50">
        <v>5</v>
      </c>
      <c r="D50">
        <v>114</v>
      </c>
      <c r="E50">
        <v>570</v>
      </c>
      <c r="F50">
        <v>113</v>
      </c>
      <c r="G50" s="1">
        <v>45490</v>
      </c>
      <c r="H50" t="s">
        <v>11</v>
      </c>
      <c r="I50">
        <v>2024</v>
      </c>
      <c r="J50">
        <v>7</v>
      </c>
    </row>
    <row r="51" spans="1:10" x14ac:dyDescent="0.3">
      <c r="A51">
        <v>233</v>
      </c>
      <c r="B51">
        <v>42</v>
      </c>
      <c r="C51">
        <v>5</v>
      </c>
      <c r="D51">
        <v>80</v>
      </c>
      <c r="E51">
        <v>400</v>
      </c>
      <c r="F51">
        <v>113</v>
      </c>
      <c r="G51" s="1">
        <v>45490</v>
      </c>
      <c r="H51" t="s">
        <v>11</v>
      </c>
      <c r="I51">
        <v>2024</v>
      </c>
      <c r="J51">
        <v>7</v>
      </c>
    </row>
    <row r="52" spans="1:10" x14ac:dyDescent="0.3">
      <c r="A52">
        <v>670</v>
      </c>
      <c r="B52">
        <v>4</v>
      </c>
      <c r="C52">
        <v>1</v>
      </c>
      <c r="D52">
        <v>71</v>
      </c>
      <c r="E52">
        <v>71</v>
      </c>
      <c r="F52">
        <v>69</v>
      </c>
      <c r="G52" s="1">
        <v>45328</v>
      </c>
      <c r="H52" t="s">
        <v>11</v>
      </c>
      <c r="I52">
        <v>2024</v>
      </c>
      <c r="J52">
        <v>2</v>
      </c>
    </row>
    <row r="53" spans="1:10" x14ac:dyDescent="0.3">
      <c r="A53">
        <v>781</v>
      </c>
      <c r="B53">
        <v>8</v>
      </c>
      <c r="C53">
        <v>5</v>
      </c>
      <c r="D53">
        <v>43</v>
      </c>
      <c r="E53">
        <v>215</v>
      </c>
      <c r="F53">
        <v>289</v>
      </c>
      <c r="G53" s="1">
        <v>45542</v>
      </c>
      <c r="H53" t="s">
        <v>11</v>
      </c>
      <c r="I53">
        <v>2024</v>
      </c>
      <c r="J53">
        <v>9</v>
      </c>
    </row>
    <row r="54" spans="1:10" x14ac:dyDescent="0.3">
      <c r="A54">
        <v>781</v>
      </c>
      <c r="B54">
        <v>15</v>
      </c>
      <c r="C54">
        <v>1</v>
      </c>
      <c r="D54">
        <v>75</v>
      </c>
      <c r="E54">
        <v>75</v>
      </c>
      <c r="F54">
        <v>289</v>
      </c>
      <c r="G54" s="1">
        <v>45542</v>
      </c>
      <c r="H54" t="s">
        <v>11</v>
      </c>
      <c r="I54">
        <v>2024</v>
      </c>
      <c r="J54">
        <v>9</v>
      </c>
    </row>
    <row r="55" spans="1:10" x14ac:dyDescent="0.3">
      <c r="A55">
        <v>781</v>
      </c>
      <c r="B55">
        <v>41</v>
      </c>
      <c r="C55">
        <v>1</v>
      </c>
      <c r="D55">
        <v>48</v>
      </c>
      <c r="E55">
        <v>48</v>
      </c>
      <c r="F55">
        <v>289</v>
      </c>
      <c r="G55" s="1">
        <v>45542</v>
      </c>
      <c r="H55" t="s">
        <v>11</v>
      </c>
      <c r="I55">
        <v>2024</v>
      </c>
      <c r="J55">
        <v>9</v>
      </c>
    </row>
    <row r="56" spans="1:10" x14ac:dyDescent="0.3">
      <c r="A56">
        <v>533</v>
      </c>
      <c r="B56">
        <v>25</v>
      </c>
      <c r="C56">
        <v>1</v>
      </c>
      <c r="D56">
        <v>109</v>
      </c>
      <c r="E56">
        <v>109</v>
      </c>
      <c r="F56">
        <v>220</v>
      </c>
      <c r="G56" s="1">
        <v>45565</v>
      </c>
      <c r="H56" t="s">
        <v>11</v>
      </c>
      <c r="I56">
        <v>2024</v>
      </c>
      <c r="J56">
        <v>9</v>
      </c>
    </row>
    <row r="57" spans="1:10" x14ac:dyDescent="0.3">
      <c r="A57">
        <v>533</v>
      </c>
      <c r="B57">
        <v>33</v>
      </c>
      <c r="C57">
        <v>5</v>
      </c>
      <c r="D57">
        <v>34</v>
      </c>
      <c r="E57">
        <v>170</v>
      </c>
      <c r="F57">
        <v>220</v>
      </c>
      <c r="G57" s="1">
        <v>45565</v>
      </c>
      <c r="H57" t="s">
        <v>11</v>
      </c>
      <c r="I57">
        <v>2024</v>
      </c>
      <c r="J57">
        <v>9</v>
      </c>
    </row>
    <row r="58" spans="1:10" x14ac:dyDescent="0.3">
      <c r="A58">
        <v>533</v>
      </c>
      <c r="B58">
        <v>44</v>
      </c>
      <c r="C58">
        <v>3</v>
      </c>
      <c r="D58">
        <v>106</v>
      </c>
      <c r="E58">
        <v>318</v>
      </c>
      <c r="F58">
        <v>220</v>
      </c>
      <c r="G58" s="1">
        <v>45565</v>
      </c>
      <c r="H58" t="s">
        <v>11</v>
      </c>
      <c r="I58">
        <v>2024</v>
      </c>
      <c r="J58">
        <v>9</v>
      </c>
    </row>
    <row r="59" spans="1:10" x14ac:dyDescent="0.3">
      <c r="A59">
        <v>403</v>
      </c>
      <c r="B59">
        <v>13</v>
      </c>
      <c r="C59">
        <v>2</v>
      </c>
      <c r="D59">
        <v>110</v>
      </c>
      <c r="E59">
        <v>220</v>
      </c>
      <c r="F59">
        <v>223</v>
      </c>
      <c r="G59" s="1">
        <v>45331</v>
      </c>
      <c r="H59" t="s">
        <v>11</v>
      </c>
      <c r="I59">
        <v>2024</v>
      </c>
      <c r="J59">
        <v>2</v>
      </c>
    </row>
    <row r="60" spans="1:10" x14ac:dyDescent="0.3">
      <c r="A60">
        <v>403</v>
      </c>
      <c r="B60">
        <v>12</v>
      </c>
      <c r="C60">
        <v>4</v>
      </c>
      <c r="D60">
        <v>22</v>
      </c>
      <c r="E60">
        <v>88</v>
      </c>
      <c r="F60">
        <v>223</v>
      </c>
      <c r="G60" s="1">
        <v>45331</v>
      </c>
      <c r="H60" t="s">
        <v>11</v>
      </c>
      <c r="I60">
        <v>2024</v>
      </c>
      <c r="J60">
        <v>2</v>
      </c>
    </row>
    <row r="61" spans="1:10" x14ac:dyDescent="0.3">
      <c r="A61">
        <v>403</v>
      </c>
      <c r="B61">
        <v>16</v>
      </c>
      <c r="C61">
        <v>2</v>
      </c>
      <c r="D61">
        <v>81</v>
      </c>
      <c r="E61">
        <v>162</v>
      </c>
      <c r="F61">
        <v>223</v>
      </c>
      <c r="G61" s="1">
        <v>45331</v>
      </c>
      <c r="H61" t="s">
        <v>11</v>
      </c>
      <c r="I61">
        <v>2024</v>
      </c>
      <c r="J61">
        <v>2</v>
      </c>
    </row>
    <row r="62" spans="1:10" x14ac:dyDescent="0.3">
      <c r="A62">
        <v>403</v>
      </c>
      <c r="B62">
        <v>11</v>
      </c>
      <c r="C62">
        <v>2</v>
      </c>
      <c r="D62">
        <v>60</v>
      </c>
      <c r="E62">
        <v>120</v>
      </c>
      <c r="F62">
        <v>223</v>
      </c>
      <c r="G62" s="1">
        <v>45331</v>
      </c>
      <c r="H62" t="s">
        <v>11</v>
      </c>
      <c r="I62">
        <v>2024</v>
      </c>
      <c r="J62">
        <v>2</v>
      </c>
    </row>
    <row r="63" spans="1:10" x14ac:dyDescent="0.3">
      <c r="A63">
        <v>53</v>
      </c>
      <c r="B63">
        <v>32</v>
      </c>
      <c r="C63">
        <v>1</v>
      </c>
      <c r="D63">
        <v>26</v>
      </c>
      <c r="E63">
        <v>26</v>
      </c>
      <c r="F63">
        <v>191</v>
      </c>
      <c r="G63" s="1">
        <v>45514</v>
      </c>
      <c r="H63" t="s">
        <v>11</v>
      </c>
      <c r="I63">
        <v>2024</v>
      </c>
      <c r="J63">
        <v>8</v>
      </c>
    </row>
    <row r="64" spans="1:10" x14ac:dyDescent="0.3">
      <c r="A64">
        <v>53</v>
      </c>
      <c r="B64">
        <v>31</v>
      </c>
      <c r="C64">
        <v>1</v>
      </c>
      <c r="D64">
        <v>118</v>
      </c>
      <c r="E64">
        <v>118</v>
      </c>
      <c r="F64">
        <v>191</v>
      </c>
      <c r="G64" s="1">
        <v>45514</v>
      </c>
      <c r="H64" t="s">
        <v>11</v>
      </c>
      <c r="I64">
        <v>2024</v>
      </c>
      <c r="J64">
        <v>8</v>
      </c>
    </row>
    <row r="65" spans="1:10" x14ac:dyDescent="0.3">
      <c r="A65">
        <v>53</v>
      </c>
      <c r="B65">
        <v>24</v>
      </c>
      <c r="C65">
        <v>4</v>
      </c>
      <c r="D65">
        <v>86</v>
      </c>
      <c r="E65">
        <v>344</v>
      </c>
      <c r="F65">
        <v>191</v>
      </c>
      <c r="G65" s="1">
        <v>45514</v>
      </c>
      <c r="H65" t="s">
        <v>11</v>
      </c>
      <c r="I65">
        <v>2024</v>
      </c>
      <c r="J65">
        <v>8</v>
      </c>
    </row>
    <row r="66" spans="1:10" x14ac:dyDescent="0.3">
      <c r="A66">
        <v>787</v>
      </c>
      <c r="B66">
        <v>38</v>
      </c>
      <c r="C66">
        <v>4</v>
      </c>
      <c r="D66">
        <v>113</v>
      </c>
      <c r="E66">
        <v>452</v>
      </c>
      <c r="F66">
        <v>4</v>
      </c>
      <c r="G66" s="1">
        <v>45576</v>
      </c>
      <c r="H66" t="s">
        <v>11</v>
      </c>
      <c r="I66">
        <v>2024</v>
      </c>
      <c r="J66">
        <v>10</v>
      </c>
    </row>
    <row r="67" spans="1:10" x14ac:dyDescent="0.3">
      <c r="A67">
        <v>313</v>
      </c>
      <c r="B67">
        <v>38</v>
      </c>
      <c r="C67">
        <v>1</v>
      </c>
      <c r="D67">
        <v>113</v>
      </c>
      <c r="E67">
        <v>113</v>
      </c>
      <c r="F67">
        <v>13</v>
      </c>
      <c r="G67" s="1">
        <v>45610</v>
      </c>
      <c r="H67" t="s">
        <v>11</v>
      </c>
      <c r="I67">
        <v>2024</v>
      </c>
      <c r="J67">
        <v>11</v>
      </c>
    </row>
    <row r="68" spans="1:10" x14ac:dyDescent="0.3">
      <c r="A68">
        <v>313</v>
      </c>
      <c r="B68">
        <v>12</v>
      </c>
      <c r="C68">
        <v>2</v>
      </c>
      <c r="D68">
        <v>91</v>
      </c>
      <c r="E68">
        <v>182</v>
      </c>
      <c r="F68">
        <v>13</v>
      </c>
      <c r="G68" s="1">
        <v>45610</v>
      </c>
      <c r="H68" t="s">
        <v>11</v>
      </c>
      <c r="I68">
        <v>2024</v>
      </c>
      <c r="J68">
        <v>11</v>
      </c>
    </row>
    <row r="69" spans="1:10" x14ac:dyDescent="0.3">
      <c r="A69">
        <v>313</v>
      </c>
      <c r="B69">
        <v>45</v>
      </c>
      <c r="C69">
        <v>3</v>
      </c>
      <c r="D69">
        <v>67</v>
      </c>
      <c r="E69">
        <v>201</v>
      </c>
      <c r="F69">
        <v>13</v>
      </c>
      <c r="G69" s="1">
        <v>45610</v>
      </c>
      <c r="H69" t="s">
        <v>11</v>
      </c>
      <c r="I69">
        <v>2024</v>
      </c>
      <c r="J69">
        <v>11</v>
      </c>
    </row>
    <row r="70" spans="1:10" x14ac:dyDescent="0.3">
      <c r="A70">
        <v>313</v>
      </c>
      <c r="B70">
        <v>17</v>
      </c>
      <c r="C70">
        <v>2</v>
      </c>
      <c r="D70">
        <v>71</v>
      </c>
      <c r="E70">
        <v>142</v>
      </c>
      <c r="F70">
        <v>13</v>
      </c>
      <c r="G70" s="1">
        <v>45610</v>
      </c>
      <c r="H70" t="s">
        <v>11</v>
      </c>
      <c r="I70">
        <v>2024</v>
      </c>
      <c r="J70">
        <v>11</v>
      </c>
    </row>
    <row r="71" spans="1:10" x14ac:dyDescent="0.3">
      <c r="A71">
        <v>281</v>
      </c>
      <c r="B71">
        <v>28</v>
      </c>
      <c r="C71">
        <v>4</v>
      </c>
      <c r="D71">
        <v>63</v>
      </c>
      <c r="E71">
        <v>252</v>
      </c>
      <c r="F71">
        <v>280</v>
      </c>
      <c r="G71" s="1">
        <v>45330</v>
      </c>
      <c r="H71" t="s">
        <v>11</v>
      </c>
      <c r="I71">
        <v>2024</v>
      </c>
      <c r="J71">
        <v>2</v>
      </c>
    </row>
    <row r="72" spans="1:10" x14ac:dyDescent="0.3">
      <c r="A72">
        <v>726</v>
      </c>
      <c r="B72">
        <v>30</v>
      </c>
      <c r="C72">
        <v>1</v>
      </c>
      <c r="D72">
        <v>85</v>
      </c>
      <c r="E72">
        <v>85</v>
      </c>
      <c r="F72">
        <v>207</v>
      </c>
      <c r="G72" s="1">
        <v>45293</v>
      </c>
      <c r="H72" t="s">
        <v>11</v>
      </c>
      <c r="I72">
        <v>2024</v>
      </c>
      <c r="J72">
        <v>1</v>
      </c>
    </row>
    <row r="73" spans="1:10" x14ac:dyDescent="0.3">
      <c r="A73">
        <v>726</v>
      </c>
      <c r="B73">
        <v>8</v>
      </c>
      <c r="C73">
        <v>4</v>
      </c>
      <c r="D73">
        <v>92</v>
      </c>
      <c r="E73">
        <v>368</v>
      </c>
      <c r="F73">
        <v>207</v>
      </c>
      <c r="G73" s="1">
        <v>45293</v>
      </c>
      <c r="H73" t="s">
        <v>11</v>
      </c>
      <c r="I73">
        <v>2024</v>
      </c>
      <c r="J73">
        <v>1</v>
      </c>
    </row>
    <row r="74" spans="1:10" x14ac:dyDescent="0.3">
      <c r="A74">
        <v>726</v>
      </c>
      <c r="B74">
        <v>44</v>
      </c>
      <c r="C74">
        <v>3</v>
      </c>
      <c r="D74">
        <v>49</v>
      </c>
      <c r="E74">
        <v>147</v>
      </c>
      <c r="F74">
        <v>207</v>
      </c>
      <c r="G74" s="1">
        <v>45293</v>
      </c>
      <c r="H74" t="s">
        <v>11</v>
      </c>
      <c r="I74">
        <v>2024</v>
      </c>
      <c r="J74">
        <v>1</v>
      </c>
    </row>
    <row r="75" spans="1:10" x14ac:dyDescent="0.3">
      <c r="A75">
        <v>726</v>
      </c>
      <c r="B75">
        <v>45</v>
      </c>
      <c r="C75">
        <v>4</v>
      </c>
      <c r="D75">
        <v>55</v>
      </c>
      <c r="E75">
        <v>220</v>
      </c>
      <c r="F75">
        <v>207</v>
      </c>
      <c r="G75" s="1">
        <v>45293</v>
      </c>
      <c r="H75" t="s">
        <v>11</v>
      </c>
      <c r="I75">
        <v>2024</v>
      </c>
      <c r="J75">
        <v>1</v>
      </c>
    </row>
    <row r="76" spans="1:10" x14ac:dyDescent="0.3">
      <c r="A76">
        <v>726</v>
      </c>
      <c r="B76">
        <v>50</v>
      </c>
      <c r="C76">
        <v>3</v>
      </c>
      <c r="D76">
        <v>77</v>
      </c>
      <c r="E76">
        <v>231</v>
      </c>
      <c r="F76">
        <v>207</v>
      </c>
      <c r="G76" s="1">
        <v>45293</v>
      </c>
      <c r="H76" t="s">
        <v>11</v>
      </c>
      <c r="I76">
        <v>2024</v>
      </c>
      <c r="J76">
        <v>1</v>
      </c>
    </row>
    <row r="77" spans="1:10" x14ac:dyDescent="0.3">
      <c r="A77">
        <v>726</v>
      </c>
      <c r="B77">
        <v>22</v>
      </c>
      <c r="C77">
        <v>1</v>
      </c>
      <c r="D77">
        <v>40</v>
      </c>
      <c r="E77">
        <v>40</v>
      </c>
      <c r="F77">
        <v>207</v>
      </c>
      <c r="G77" s="1">
        <v>45293</v>
      </c>
      <c r="H77" t="s">
        <v>11</v>
      </c>
      <c r="I77">
        <v>2024</v>
      </c>
      <c r="J77">
        <v>1</v>
      </c>
    </row>
    <row r="78" spans="1:10" x14ac:dyDescent="0.3">
      <c r="A78">
        <v>31</v>
      </c>
      <c r="B78">
        <v>3</v>
      </c>
      <c r="C78">
        <v>1</v>
      </c>
      <c r="D78">
        <v>94</v>
      </c>
      <c r="E78">
        <v>94</v>
      </c>
      <c r="F78">
        <v>55</v>
      </c>
      <c r="G78" s="1">
        <v>45538</v>
      </c>
      <c r="H78" t="s">
        <v>11</v>
      </c>
      <c r="I78">
        <v>2024</v>
      </c>
      <c r="J78">
        <v>9</v>
      </c>
    </row>
    <row r="79" spans="1:10" x14ac:dyDescent="0.3">
      <c r="A79">
        <v>31</v>
      </c>
      <c r="B79">
        <v>28</v>
      </c>
      <c r="C79">
        <v>3</v>
      </c>
      <c r="D79">
        <v>95</v>
      </c>
      <c r="E79">
        <v>285</v>
      </c>
      <c r="F79">
        <v>55</v>
      </c>
      <c r="G79" s="1">
        <v>45538</v>
      </c>
      <c r="H79" t="s">
        <v>11</v>
      </c>
      <c r="I79">
        <v>2024</v>
      </c>
      <c r="J79">
        <v>9</v>
      </c>
    </row>
    <row r="80" spans="1:10" x14ac:dyDescent="0.3">
      <c r="A80">
        <v>31</v>
      </c>
      <c r="B80">
        <v>19</v>
      </c>
      <c r="C80">
        <v>1</v>
      </c>
      <c r="D80">
        <v>20</v>
      </c>
      <c r="E80">
        <v>20</v>
      </c>
      <c r="F80">
        <v>55</v>
      </c>
      <c r="G80" s="1">
        <v>45538</v>
      </c>
      <c r="H80" t="s">
        <v>11</v>
      </c>
      <c r="I80">
        <v>2024</v>
      </c>
      <c r="J80">
        <v>9</v>
      </c>
    </row>
    <row r="81" spans="1:10" x14ac:dyDescent="0.3">
      <c r="A81">
        <v>337</v>
      </c>
      <c r="B81">
        <v>28</v>
      </c>
      <c r="C81">
        <v>5</v>
      </c>
      <c r="D81">
        <v>49</v>
      </c>
      <c r="E81">
        <v>245</v>
      </c>
      <c r="F81">
        <v>53</v>
      </c>
      <c r="G81" s="1">
        <v>45550</v>
      </c>
      <c r="H81" t="s">
        <v>11</v>
      </c>
      <c r="I81">
        <v>2024</v>
      </c>
      <c r="J81">
        <v>9</v>
      </c>
    </row>
    <row r="82" spans="1:10" x14ac:dyDescent="0.3">
      <c r="A82">
        <v>337</v>
      </c>
      <c r="B82">
        <v>40</v>
      </c>
      <c r="C82">
        <v>2</v>
      </c>
      <c r="D82">
        <v>90</v>
      </c>
      <c r="E82">
        <v>180</v>
      </c>
      <c r="F82">
        <v>53</v>
      </c>
      <c r="G82" s="1">
        <v>45550</v>
      </c>
      <c r="H82" t="s">
        <v>11</v>
      </c>
      <c r="I82">
        <v>2024</v>
      </c>
      <c r="J82">
        <v>9</v>
      </c>
    </row>
    <row r="83" spans="1:10" x14ac:dyDescent="0.3">
      <c r="A83">
        <v>183</v>
      </c>
      <c r="B83">
        <v>3</v>
      </c>
      <c r="C83">
        <v>2</v>
      </c>
      <c r="D83">
        <v>28</v>
      </c>
      <c r="E83">
        <v>56</v>
      </c>
      <c r="F83">
        <v>247</v>
      </c>
      <c r="G83" s="1">
        <v>45364</v>
      </c>
      <c r="H83" t="s">
        <v>11</v>
      </c>
      <c r="I83">
        <v>2024</v>
      </c>
      <c r="J83">
        <v>3</v>
      </c>
    </row>
    <row r="84" spans="1:10" x14ac:dyDescent="0.3">
      <c r="A84">
        <v>183</v>
      </c>
      <c r="B84">
        <v>34</v>
      </c>
      <c r="C84">
        <v>2</v>
      </c>
      <c r="D84">
        <v>30</v>
      </c>
      <c r="E84">
        <v>60</v>
      </c>
      <c r="F84">
        <v>247</v>
      </c>
      <c r="G84" s="1">
        <v>45364</v>
      </c>
      <c r="H84" t="s">
        <v>11</v>
      </c>
      <c r="I84">
        <v>2024</v>
      </c>
      <c r="J84">
        <v>3</v>
      </c>
    </row>
    <row r="85" spans="1:10" x14ac:dyDescent="0.3">
      <c r="A85">
        <v>23</v>
      </c>
      <c r="B85">
        <v>45</v>
      </c>
      <c r="C85">
        <v>2</v>
      </c>
      <c r="D85">
        <v>76</v>
      </c>
      <c r="E85">
        <v>152</v>
      </c>
      <c r="F85">
        <v>49</v>
      </c>
      <c r="G85" s="1">
        <v>45378</v>
      </c>
      <c r="H85" t="s">
        <v>11</v>
      </c>
      <c r="I85">
        <v>2024</v>
      </c>
      <c r="J85">
        <v>3</v>
      </c>
    </row>
    <row r="86" spans="1:10" x14ac:dyDescent="0.3">
      <c r="A86">
        <v>23</v>
      </c>
      <c r="B86">
        <v>33</v>
      </c>
      <c r="C86">
        <v>1</v>
      </c>
      <c r="D86">
        <v>116</v>
      </c>
      <c r="E86">
        <v>116</v>
      </c>
      <c r="F86">
        <v>49</v>
      </c>
      <c r="G86" s="1">
        <v>45378</v>
      </c>
      <c r="H86" t="s">
        <v>11</v>
      </c>
      <c r="I86">
        <v>2024</v>
      </c>
      <c r="J86">
        <v>3</v>
      </c>
    </row>
    <row r="87" spans="1:10" x14ac:dyDescent="0.3">
      <c r="A87">
        <v>446</v>
      </c>
      <c r="B87">
        <v>16</v>
      </c>
      <c r="C87">
        <v>5</v>
      </c>
      <c r="D87">
        <v>62</v>
      </c>
      <c r="E87">
        <v>310</v>
      </c>
      <c r="F87">
        <v>227</v>
      </c>
      <c r="G87" s="1">
        <v>45586</v>
      </c>
      <c r="H87" t="s">
        <v>11</v>
      </c>
      <c r="I87">
        <v>2024</v>
      </c>
      <c r="J87">
        <v>10</v>
      </c>
    </row>
    <row r="88" spans="1:10" x14ac:dyDescent="0.3">
      <c r="A88">
        <v>446</v>
      </c>
      <c r="B88">
        <v>19</v>
      </c>
      <c r="C88">
        <v>5</v>
      </c>
      <c r="D88">
        <v>23</v>
      </c>
      <c r="E88">
        <v>115</v>
      </c>
      <c r="F88">
        <v>227</v>
      </c>
      <c r="G88" s="1">
        <v>45586</v>
      </c>
      <c r="H88" t="s">
        <v>11</v>
      </c>
      <c r="I88">
        <v>2024</v>
      </c>
      <c r="J88">
        <v>10</v>
      </c>
    </row>
    <row r="89" spans="1:10" x14ac:dyDescent="0.3">
      <c r="A89">
        <v>446</v>
      </c>
      <c r="B89">
        <v>8</v>
      </c>
      <c r="C89">
        <v>1</v>
      </c>
      <c r="D89">
        <v>85</v>
      </c>
      <c r="E89">
        <v>85</v>
      </c>
      <c r="F89">
        <v>227</v>
      </c>
      <c r="G89" s="1">
        <v>45586</v>
      </c>
      <c r="H89" t="s">
        <v>11</v>
      </c>
      <c r="I89">
        <v>2024</v>
      </c>
      <c r="J89">
        <v>10</v>
      </c>
    </row>
    <row r="90" spans="1:10" x14ac:dyDescent="0.3">
      <c r="A90">
        <v>446</v>
      </c>
      <c r="B90">
        <v>5</v>
      </c>
      <c r="C90">
        <v>1</v>
      </c>
      <c r="D90">
        <v>77</v>
      </c>
      <c r="E90">
        <v>77</v>
      </c>
      <c r="F90">
        <v>227</v>
      </c>
      <c r="G90" s="1">
        <v>45586</v>
      </c>
      <c r="H90" t="s">
        <v>11</v>
      </c>
      <c r="I90">
        <v>2024</v>
      </c>
      <c r="J90">
        <v>10</v>
      </c>
    </row>
    <row r="91" spans="1:10" x14ac:dyDescent="0.3">
      <c r="A91">
        <v>10</v>
      </c>
      <c r="B91">
        <v>32</v>
      </c>
      <c r="C91">
        <v>2</v>
      </c>
      <c r="D91">
        <v>92</v>
      </c>
      <c r="E91">
        <v>184</v>
      </c>
      <c r="F91">
        <v>88</v>
      </c>
      <c r="G91" s="1">
        <v>45404</v>
      </c>
      <c r="H91" t="s">
        <v>11</v>
      </c>
      <c r="I91">
        <v>2024</v>
      </c>
      <c r="J91">
        <v>4</v>
      </c>
    </row>
    <row r="92" spans="1:10" x14ac:dyDescent="0.3">
      <c r="A92">
        <v>10</v>
      </c>
      <c r="B92">
        <v>49</v>
      </c>
      <c r="C92">
        <v>5</v>
      </c>
      <c r="D92">
        <v>69</v>
      </c>
      <c r="E92">
        <v>345</v>
      </c>
      <c r="F92">
        <v>88</v>
      </c>
      <c r="G92" s="1">
        <v>45404</v>
      </c>
      <c r="H92" t="s">
        <v>11</v>
      </c>
      <c r="I92">
        <v>2024</v>
      </c>
      <c r="J92">
        <v>4</v>
      </c>
    </row>
    <row r="93" spans="1:10" x14ac:dyDescent="0.3">
      <c r="A93">
        <v>10</v>
      </c>
      <c r="B93">
        <v>4</v>
      </c>
      <c r="C93">
        <v>1</v>
      </c>
      <c r="D93">
        <v>63</v>
      </c>
      <c r="E93">
        <v>63</v>
      </c>
      <c r="F93">
        <v>88</v>
      </c>
      <c r="G93" s="1">
        <v>45404</v>
      </c>
      <c r="H93" t="s">
        <v>11</v>
      </c>
      <c r="I93">
        <v>2024</v>
      </c>
      <c r="J93">
        <v>4</v>
      </c>
    </row>
    <row r="94" spans="1:10" x14ac:dyDescent="0.3">
      <c r="A94">
        <v>484</v>
      </c>
      <c r="B94">
        <v>38</v>
      </c>
      <c r="C94">
        <v>5</v>
      </c>
      <c r="D94">
        <v>56</v>
      </c>
      <c r="E94">
        <v>280</v>
      </c>
      <c r="F94">
        <v>57</v>
      </c>
      <c r="G94" s="1">
        <v>45561</v>
      </c>
      <c r="H94" t="s">
        <v>11</v>
      </c>
      <c r="I94">
        <v>2024</v>
      </c>
      <c r="J94">
        <v>9</v>
      </c>
    </row>
    <row r="95" spans="1:10" x14ac:dyDescent="0.3">
      <c r="A95">
        <v>484</v>
      </c>
      <c r="B95">
        <v>3</v>
      </c>
      <c r="C95">
        <v>2</v>
      </c>
      <c r="D95">
        <v>20</v>
      </c>
      <c r="E95">
        <v>40</v>
      </c>
      <c r="F95">
        <v>57</v>
      </c>
      <c r="G95" s="1">
        <v>45561</v>
      </c>
      <c r="H95" t="s">
        <v>11</v>
      </c>
      <c r="I95">
        <v>2024</v>
      </c>
      <c r="J95">
        <v>9</v>
      </c>
    </row>
    <row r="96" spans="1:10" x14ac:dyDescent="0.3">
      <c r="A96">
        <v>456</v>
      </c>
      <c r="B96">
        <v>8</v>
      </c>
      <c r="C96">
        <v>2</v>
      </c>
      <c r="D96">
        <v>15</v>
      </c>
      <c r="E96">
        <v>30</v>
      </c>
      <c r="F96">
        <v>268</v>
      </c>
      <c r="G96" s="1">
        <v>45645</v>
      </c>
      <c r="H96" t="s">
        <v>11</v>
      </c>
      <c r="I96">
        <v>2024</v>
      </c>
      <c r="J96">
        <v>12</v>
      </c>
    </row>
    <row r="97" spans="1:10" x14ac:dyDescent="0.3">
      <c r="A97">
        <v>456</v>
      </c>
      <c r="B97">
        <v>5</v>
      </c>
      <c r="C97">
        <v>1</v>
      </c>
      <c r="D97">
        <v>114</v>
      </c>
      <c r="E97">
        <v>114</v>
      </c>
      <c r="F97">
        <v>268</v>
      </c>
      <c r="G97" s="1">
        <v>45645</v>
      </c>
      <c r="H97" t="s">
        <v>11</v>
      </c>
      <c r="I97">
        <v>2024</v>
      </c>
      <c r="J97">
        <v>12</v>
      </c>
    </row>
    <row r="98" spans="1:10" x14ac:dyDescent="0.3">
      <c r="A98">
        <v>456</v>
      </c>
      <c r="B98">
        <v>17</v>
      </c>
      <c r="C98">
        <v>4</v>
      </c>
      <c r="D98">
        <v>77</v>
      </c>
      <c r="E98">
        <v>308</v>
      </c>
      <c r="F98">
        <v>268</v>
      </c>
      <c r="G98" s="1">
        <v>45645</v>
      </c>
      <c r="H98" t="s">
        <v>11</v>
      </c>
      <c r="I98">
        <v>2024</v>
      </c>
      <c r="J98">
        <v>12</v>
      </c>
    </row>
    <row r="99" spans="1:10" x14ac:dyDescent="0.3">
      <c r="A99">
        <v>456</v>
      </c>
      <c r="B99">
        <v>22</v>
      </c>
      <c r="C99">
        <v>5</v>
      </c>
      <c r="D99">
        <v>117</v>
      </c>
      <c r="E99">
        <v>585</v>
      </c>
      <c r="F99">
        <v>268</v>
      </c>
      <c r="G99" s="1">
        <v>45645</v>
      </c>
      <c r="H99" t="s">
        <v>11</v>
      </c>
      <c r="I99">
        <v>2024</v>
      </c>
      <c r="J99">
        <v>12</v>
      </c>
    </row>
    <row r="100" spans="1:10" x14ac:dyDescent="0.3">
      <c r="A100">
        <v>566</v>
      </c>
      <c r="B100">
        <v>8</v>
      </c>
      <c r="C100">
        <v>5</v>
      </c>
      <c r="D100">
        <v>25</v>
      </c>
      <c r="E100">
        <v>125</v>
      </c>
      <c r="F100">
        <v>224</v>
      </c>
      <c r="G100" s="1">
        <v>45635</v>
      </c>
      <c r="H100" t="s">
        <v>11</v>
      </c>
      <c r="I100">
        <v>2024</v>
      </c>
      <c r="J100">
        <v>12</v>
      </c>
    </row>
    <row r="101" spans="1:10" x14ac:dyDescent="0.3">
      <c r="A101">
        <v>566</v>
      </c>
      <c r="B101">
        <v>50</v>
      </c>
      <c r="C101">
        <v>2</v>
      </c>
      <c r="D101">
        <v>60</v>
      </c>
      <c r="E101">
        <v>120</v>
      </c>
      <c r="F101">
        <v>224</v>
      </c>
      <c r="G101" s="1">
        <v>45635</v>
      </c>
      <c r="H101" t="s">
        <v>11</v>
      </c>
      <c r="I101">
        <v>2024</v>
      </c>
      <c r="J101">
        <v>12</v>
      </c>
    </row>
    <row r="102" spans="1:10" x14ac:dyDescent="0.3">
      <c r="A102">
        <v>566</v>
      </c>
      <c r="B102">
        <v>32</v>
      </c>
      <c r="C102">
        <v>1</v>
      </c>
      <c r="D102">
        <v>29</v>
      </c>
      <c r="E102">
        <v>29</v>
      </c>
      <c r="F102">
        <v>224</v>
      </c>
      <c r="G102" s="1">
        <v>45635</v>
      </c>
      <c r="H102" t="s">
        <v>11</v>
      </c>
      <c r="I102">
        <v>2024</v>
      </c>
      <c r="J102">
        <v>12</v>
      </c>
    </row>
    <row r="103" spans="1:10" x14ac:dyDescent="0.3">
      <c r="A103">
        <v>564</v>
      </c>
      <c r="B103">
        <v>6</v>
      </c>
      <c r="C103">
        <v>1</v>
      </c>
      <c r="D103">
        <v>81</v>
      </c>
      <c r="E103">
        <v>81</v>
      </c>
      <c r="F103">
        <v>144</v>
      </c>
      <c r="G103" s="1">
        <v>45505</v>
      </c>
      <c r="H103" t="s">
        <v>11</v>
      </c>
      <c r="I103">
        <v>2024</v>
      </c>
      <c r="J103">
        <v>8</v>
      </c>
    </row>
    <row r="104" spans="1:10" x14ac:dyDescent="0.3">
      <c r="A104">
        <v>564</v>
      </c>
      <c r="B104">
        <v>15</v>
      </c>
      <c r="C104">
        <v>5</v>
      </c>
      <c r="D104">
        <v>45</v>
      </c>
      <c r="E104">
        <v>225</v>
      </c>
      <c r="F104">
        <v>144</v>
      </c>
      <c r="G104" s="1">
        <v>45505</v>
      </c>
      <c r="H104" t="s">
        <v>11</v>
      </c>
      <c r="I104">
        <v>2024</v>
      </c>
      <c r="J104">
        <v>8</v>
      </c>
    </row>
    <row r="105" spans="1:10" x14ac:dyDescent="0.3">
      <c r="A105">
        <v>564</v>
      </c>
      <c r="B105">
        <v>37</v>
      </c>
      <c r="C105">
        <v>1</v>
      </c>
      <c r="D105">
        <v>106</v>
      </c>
      <c r="E105">
        <v>106</v>
      </c>
      <c r="F105">
        <v>144</v>
      </c>
      <c r="G105" s="1">
        <v>45505</v>
      </c>
      <c r="H105" t="s">
        <v>11</v>
      </c>
      <c r="I105">
        <v>2024</v>
      </c>
      <c r="J105">
        <v>8</v>
      </c>
    </row>
    <row r="106" spans="1:10" x14ac:dyDescent="0.3">
      <c r="A106">
        <v>660</v>
      </c>
      <c r="B106">
        <v>14</v>
      </c>
      <c r="C106">
        <v>2</v>
      </c>
      <c r="D106">
        <v>27</v>
      </c>
      <c r="E106">
        <v>54</v>
      </c>
      <c r="F106">
        <v>30</v>
      </c>
      <c r="G106" s="1">
        <v>45512</v>
      </c>
      <c r="H106" t="s">
        <v>11</v>
      </c>
      <c r="I106">
        <v>2024</v>
      </c>
      <c r="J106">
        <v>8</v>
      </c>
    </row>
    <row r="107" spans="1:10" x14ac:dyDescent="0.3">
      <c r="A107">
        <v>660</v>
      </c>
      <c r="B107">
        <v>21</v>
      </c>
      <c r="C107">
        <v>5</v>
      </c>
      <c r="D107">
        <v>106</v>
      </c>
      <c r="E107">
        <v>530</v>
      </c>
      <c r="F107">
        <v>30</v>
      </c>
      <c r="G107" s="1">
        <v>45512</v>
      </c>
      <c r="H107" t="s">
        <v>11</v>
      </c>
      <c r="I107">
        <v>2024</v>
      </c>
      <c r="J107">
        <v>8</v>
      </c>
    </row>
    <row r="108" spans="1:10" x14ac:dyDescent="0.3">
      <c r="A108">
        <v>660</v>
      </c>
      <c r="B108">
        <v>23</v>
      </c>
      <c r="C108">
        <v>2</v>
      </c>
      <c r="D108">
        <v>65</v>
      </c>
      <c r="E108">
        <v>130</v>
      </c>
      <c r="F108">
        <v>30</v>
      </c>
      <c r="G108" s="1">
        <v>45512</v>
      </c>
      <c r="H108" t="s">
        <v>11</v>
      </c>
      <c r="I108">
        <v>2024</v>
      </c>
      <c r="J108">
        <v>8</v>
      </c>
    </row>
    <row r="109" spans="1:10" x14ac:dyDescent="0.3">
      <c r="A109">
        <v>660</v>
      </c>
      <c r="B109">
        <v>34</v>
      </c>
      <c r="C109">
        <v>4</v>
      </c>
      <c r="D109">
        <v>70</v>
      </c>
      <c r="E109">
        <v>280</v>
      </c>
      <c r="F109">
        <v>30</v>
      </c>
      <c r="G109" s="1">
        <v>45512</v>
      </c>
      <c r="H109" t="s">
        <v>11</v>
      </c>
      <c r="I109">
        <v>2024</v>
      </c>
      <c r="J109">
        <v>8</v>
      </c>
    </row>
    <row r="110" spans="1:10" x14ac:dyDescent="0.3">
      <c r="A110">
        <v>160</v>
      </c>
      <c r="B110">
        <v>32</v>
      </c>
      <c r="C110">
        <v>2</v>
      </c>
      <c r="D110">
        <v>61</v>
      </c>
      <c r="E110">
        <v>122</v>
      </c>
      <c r="F110">
        <v>113</v>
      </c>
      <c r="G110" s="1">
        <v>45478</v>
      </c>
      <c r="H110" t="s">
        <v>11</v>
      </c>
      <c r="I110">
        <v>2024</v>
      </c>
      <c r="J110">
        <v>7</v>
      </c>
    </row>
    <row r="111" spans="1:10" x14ac:dyDescent="0.3">
      <c r="A111">
        <v>160</v>
      </c>
      <c r="B111">
        <v>11</v>
      </c>
      <c r="C111">
        <v>2</v>
      </c>
      <c r="D111">
        <v>50</v>
      </c>
      <c r="E111">
        <v>100</v>
      </c>
      <c r="F111">
        <v>113</v>
      </c>
      <c r="G111" s="1">
        <v>45478</v>
      </c>
      <c r="H111" t="s">
        <v>11</v>
      </c>
      <c r="I111">
        <v>2024</v>
      </c>
      <c r="J111">
        <v>7</v>
      </c>
    </row>
    <row r="112" spans="1:10" x14ac:dyDescent="0.3">
      <c r="A112">
        <v>882</v>
      </c>
      <c r="B112">
        <v>35</v>
      </c>
      <c r="C112">
        <v>4</v>
      </c>
      <c r="D112">
        <v>57</v>
      </c>
      <c r="E112">
        <v>228</v>
      </c>
      <c r="F112">
        <v>198</v>
      </c>
      <c r="G112" s="1">
        <v>45635</v>
      </c>
      <c r="H112" t="s">
        <v>11</v>
      </c>
      <c r="I112">
        <v>2024</v>
      </c>
      <c r="J112">
        <v>12</v>
      </c>
    </row>
    <row r="113" spans="1:10" x14ac:dyDescent="0.3">
      <c r="A113">
        <v>882</v>
      </c>
      <c r="B113">
        <v>26</v>
      </c>
      <c r="C113">
        <v>1</v>
      </c>
      <c r="D113">
        <v>35</v>
      </c>
      <c r="E113">
        <v>35</v>
      </c>
      <c r="F113">
        <v>198</v>
      </c>
      <c r="G113" s="1">
        <v>45635</v>
      </c>
      <c r="H113" t="s">
        <v>11</v>
      </c>
      <c r="I113">
        <v>2024</v>
      </c>
      <c r="J113">
        <v>12</v>
      </c>
    </row>
    <row r="114" spans="1:10" x14ac:dyDescent="0.3">
      <c r="A114">
        <v>14</v>
      </c>
      <c r="B114">
        <v>10</v>
      </c>
      <c r="C114">
        <v>5</v>
      </c>
      <c r="D114">
        <v>52</v>
      </c>
      <c r="E114">
        <v>260</v>
      </c>
      <c r="F114">
        <v>150</v>
      </c>
      <c r="G114" s="1">
        <v>45610</v>
      </c>
      <c r="H114" t="s">
        <v>11</v>
      </c>
      <c r="I114">
        <v>2024</v>
      </c>
      <c r="J114">
        <v>11</v>
      </c>
    </row>
    <row r="115" spans="1:10" x14ac:dyDescent="0.3">
      <c r="A115">
        <v>14</v>
      </c>
      <c r="B115">
        <v>22</v>
      </c>
      <c r="C115">
        <v>4</v>
      </c>
      <c r="D115">
        <v>35</v>
      </c>
      <c r="E115">
        <v>140</v>
      </c>
      <c r="F115">
        <v>150</v>
      </c>
      <c r="G115" s="1">
        <v>45610</v>
      </c>
      <c r="H115" t="s">
        <v>11</v>
      </c>
      <c r="I115">
        <v>2024</v>
      </c>
      <c r="J115">
        <v>11</v>
      </c>
    </row>
    <row r="116" spans="1:10" x14ac:dyDescent="0.3">
      <c r="A116">
        <v>178</v>
      </c>
      <c r="B116">
        <v>3</v>
      </c>
      <c r="C116">
        <v>5</v>
      </c>
      <c r="D116">
        <v>48</v>
      </c>
      <c r="E116">
        <v>240</v>
      </c>
      <c r="F116">
        <v>53</v>
      </c>
      <c r="G116" s="1">
        <v>45535</v>
      </c>
      <c r="H116" t="s">
        <v>11</v>
      </c>
      <c r="I116">
        <v>2024</v>
      </c>
      <c r="J116">
        <v>8</v>
      </c>
    </row>
    <row r="117" spans="1:10" x14ac:dyDescent="0.3">
      <c r="A117">
        <v>178</v>
      </c>
      <c r="B117">
        <v>31</v>
      </c>
      <c r="C117">
        <v>4</v>
      </c>
      <c r="D117">
        <v>114</v>
      </c>
      <c r="E117">
        <v>456</v>
      </c>
      <c r="F117">
        <v>53</v>
      </c>
      <c r="G117" s="1">
        <v>45535</v>
      </c>
      <c r="H117" t="s">
        <v>11</v>
      </c>
      <c r="I117">
        <v>2024</v>
      </c>
      <c r="J117">
        <v>8</v>
      </c>
    </row>
    <row r="118" spans="1:10" x14ac:dyDescent="0.3">
      <c r="A118">
        <v>412</v>
      </c>
      <c r="B118">
        <v>12</v>
      </c>
      <c r="C118">
        <v>2</v>
      </c>
      <c r="D118">
        <v>58</v>
      </c>
      <c r="E118">
        <v>116</v>
      </c>
      <c r="F118">
        <v>258</v>
      </c>
      <c r="G118" s="1">
        <v>45383</v>
      </c>
      <c r="H118" t="s">
        <v>11</v>
      </c>
      <c r="I118">
        <v>2024</v>
      </c>
      <c r="J118">
        <v>4</v>
      </c>
    </row>
    <row r="119" spans="1:10" x14ac:dyDescent="0.3">
      <c r="A119">
        <v>412</v>
      </c>
      <c r="B119">
        <v>26</v>
      </c>
      <c r="C119">
        <v>3</v>
      </c>
      <c r="D119">
        <v>72</v>
      </c>
      <c r="E119">
        <v>216</v>
      </c>
      <c r="F119">
        <v>258</v>
      </c>
      <c r="G119" s="1">
        <v>45383</v>
      </c>
      <c r="H119" t="s">
        <v>11</v>
      </c>
      <c r="I119">
        <v>2024</v>
      </c>
      <c r="J119">
        <v>4</v>
      </c>
    </row>
    <row r="120" spans="1:10" x14ac:dyDescent="0.3">
      <c r="A120">
        <v>412</v>
      </c>
      <c r="B120">
        <v>6</v>
      </c>
      <c r="C120">
        <v>5</v>
      </c>
      <c r="D120">
        <v>91</v>
      </c>
      <c r="E120">
        <v>455</v>
      </c>
      <c r="F120">
        <v>258</v>
      </c>
      <c r="G120" s="1">
        <v>45383</v>
      </c>
      <c r="H120" t="s">
        <v>11</v>
      </c>
      <c r="I120">
        <v>2024</v>
      </c>
      <c r="J120">
        <v>4</v>
      </c>
    </row>
    <row r="121" spans="1:10" x14ac:dyDescent="0.3">
      <c r="A121">
        <v>412</v>
      </c>
      <c r="B121">
        <v>20</v>
      </c>
      <c r="C121">
        <v>1</v>
      </c>
      <c r="D121">
        <v>45</v>
      </c>
      <c r="E121">
        <v>45</v>
      </c>
      <c r="F121">
        <v>258</v>
      </c>
      <c r="G121" s="1">
        <v>45383</v>
      </c>
      <c r="H121" t="s">
        <v>11</v>
      </c>
      <c r="I121">
        <v>2024</v>
      </c>
      <c r="J121">
        <v>4</v>
      </c>
    </row>
    <row r="122" spans="1:10" x14ac:dyDescent="0.3">
      <c r="A122">
        <v>412</v>
      </c>
      <c r="B122">
        <v>2</v>
      </c>
      <c r="C122">
        <v>5</v>
      </c>
      <c r="D122">
        <v>57</v>
      </c>
      <c r="E122">
        <v>285</v>
      </c>
      <c r="F122">
        <v>258</v>
      </c>
      <c r="G122" s="1">
        <v>45383</v>
      </c>
      <c r="H122" t="s">
        <v>11</v>
      </c>
      <c r="I122">
        <v>2024</v>
      </c>
      <c r="J122">
        <v>4</v>
      </c>
    </row>
    <row r="123" spans="1:10" x14ac:dyDescent="0.3">
      <c r="A123">
        <v>408</v>
      </c>
      <c r="B123">
        <v>29</v>
      </c>
      <c r="C123">
        <v>1</v>
      </c>
      <c r="D123">
        <v>19</v>
      </c>
      <c r="E123">
        <v>19</v>
      </c>
      <c r="F123">
        <v>4</v>
      </c>
      <c r="G123" s="1">
        <v>45507</v>
      </c>
      <c r="H123" t="s">
        <v>11</v>
      </c>
      <c r="I123">
        <v>2024</v>
      </c>
      <c r="J123">
        <v>8</v>
      </c>
    </row>
    <row r="124" spans="1:10" x14ac:dyDescent="0.3">
      <c r="A124">
        <v>847</v>
      </c>
      <c r="B124">
        <v>5</v>
      </c>
      <c r="C124">
        <v>5</v>
      </c>
      <c r="D124">
        <v>80</v>
      </c>
      <c r="E124">
        <v>400</v>
      </c>
      <c r="F124">
        <v>35</v>
      </c>
      <c r="G124" s="1">
        <v>45580</v>
      </c>
      <c r="H124" t="s">
        <v>11</v>
      </c>
      <c r="I124">
        <v>2024</v>
      </c>
      <c r="J124">
        <v>10</v>
      </c>
    </row>
    <row r="125" spans="1:10" x14ac:dyDescent="0.3">
      <c r="A125">
        <v>22</v>
      </c>
      <c r="B125">
        <v>25</v>
      </c>
      <c r="C125">
        <v>4</v>
      </c>
      <c r="D125">
        <v>119</v>
      </c>
      <c r="E125">
        <v>476</v>
      </c>
      <c r="F125">
        <v>236</v>
      </c>
      <c r="G125" s="1">
        <v>45453</v>
      </c>
      <c r="H125" t="s">
        <v>11</v>
      </c>
      <c r="I125">
        <v>2024</v>
      </c>
      <c r="J125">
        <v>6</v>
      </c>
    </row>
    <row r="126" spans="1:10" x14ac:dyDescent="0.3">
      <c r="A126">
        <v>22</v>
      </c>
      <c r="B126">
        <v>4</v>
      </c>
      <c r="C126">
        <v>5</v>
      </c>
      <c r="D126">
        <v>75</v>
      </c>
      <c r="E126">
        <v>375</v>
      </c>
      <c r="F126">
        <v>236</v>
      </c>
      <c r="G126" s="1">
        <v>45453</v>
      </c>
      <c r="H126" t="s">
        <v>11</v>
      </c>
      <c r="I126">
        <v>2024</v>
      </c>
      <c r="J126">
        <v>6</v>
      </c>
    </row>
    <row r="127" spans="1:10" x14ac:dyDescent="0.3">
      <c r="A127">
        <v>22</v>
      </c>
      <c r="B127">
        <v>12</v>
      </c>
      <c r="C127">
        <v>3</v>
      </c>
      <c r="D127">
        <v>33</v>
      </c>
      <c r="E127">
        <v>99</v>
      </c>
      <c r="F127">
        <v>236</v>
      </c>
      <c r="G127" s="1">
        <v>45453</v>
      </c>
      <c r="H127" t="s">
        <v>11</v>
      </c>
      <c r="I127">
        <v>2024</v>
      </c>
      <c r="J127">
        <v>6</v>
      </c>
    </row>
    <row r="128" spans="1:10" x14ac:dyDescent="0.3">
      <c r="A128">
        <v>22</v>
      </c>
      <c r="B128">
        <v>48</v>
      </c>
      <c r="C128">
        <v>1</v>
      </c>
      <c r="D128">
        <v>46</v>
      </c>
      <c r="E128">
        <v>46</v>
      </c>
      <c r="F128">
        <v>236</v>
      </c>
      <c r="G128" s="1">
        <v>45453</v>
      </c>
      <c r="H128" t="s">
        <v>11</v>
      </c>
      <c r="I128">
        <v>2024</v>
      </c>
      <c r="J128">
        <v>6</v>
      </c>
    </row>
    <row r="129" spans="1:10" x14ac:dyDescent="0.3">
      <c r="A129">
        <v>30</v>
      </c>
      <c r="B129">
        <v>41</v>
      </c>
      <c r="C129">
        <v>2</v>
      </c>
      <c r="D129">
        <v>64</v>
      </c>
      <c r="E129">
        <v>128</v>
      </c>
      <c r="F129">
        <v>51</v>
      </c>
      <c r="G129" s="1">
        <v>45604</v>
      </c>
      <c r="H129" t="s">
        <v>11</v>
      </c>
      <c r="I129">
        <v>2024</v>
      </c>
      <c r="J129">
        <v>11</v>
      </c>
    </row>
    <row r="130" spans="1:10" x14ac:dyDescent="0.3">
      <c r="A130">
        <v>703</v>
      </c>
      <c r="B130">
        <v>31</v>
      </c>
      <c r="C130">
        <v>3</v>
      </c>
      <c r="D130">
        <v>10</v>
      </c>
      <c r="E130">
        <v>30</v>
      </c>
      <c r="F130">
        <v>12</v>
      </c>
      <c r="G130" s="1">
        <v>45626</v>
      </c>
      <c r="H130" t="s">
        <v>11</v>
      </c>
      <c r="I130">
        <v>2024</v>
      </c>
      <c r="J130">
        <v>11</v>
      </c>
    </row>
    <row r="131" spans="1:10" x14ac:dyDescent="0.3">
      <c r="A131">
        <v>260</v>
      </c>
      <c r="B131">
        <v>21</v>
      </c>
      <c r="C131">
        <v>4</v>
      </c>
      <c r="D131">
        <v>58</v>
      </c>
      <c r="E131">
        <v>232</v>
      </c>
      <c r="F131">
        <v>283</v>
      </c>
      <c r="G131" s="1">
        <v>45474</v>
      </c>
      <c r="H131" t="s">
        <v>11</v>
      </c>
      <c r="I131">
        <v>2024</v>
      </c>
      <c r="J131">
        <v>7</v>
      </c>
    </row>
    <row r="132" spans="1:10" x14ac:dyDescent="0.3">
      <c r="A132">
        <v>260</v>
      </c>
      <c r="B132">
        <v>16</v>
      </c>
      <c r="C132">
        <v>3</v>
      </c>
      <c r="D132">
        <v>112</v>
      </c>
      <c r="E132">
        <v>336</v>
      </c>
      <c r="F132">
        <v>283</v>
      </c>
      <c r="G132" s="1">
        <v>45474</v>
      </c>
      <c r="H132" t="s">
        <v>11</v>
      </c>
      <c r="I132">
        <v>2024</v>
      </c>
      <c r="J132">
        <v>7</v>
      </c>
    </row>
    <row r="133" spans="1:10" x14ac:dyDescent="0.3">
      <c r="A133">
        <v>260</v>
      </c>
      <c r="B133">
        <v>42</v>
      </c>
      <c r="C133">
        <v>3</v>
      </c>
      <c r="D133">
        <v>48</v>
      </c>
      <c r="E133">
        <v>144</v>
      </c>
      <c r="F133">
        <v>283</v>
      </c>
      <c r="G133" s="1">
        <v>45474</v>
      </c>
      <c r="H133" t="s">
        <v>11</v>
      </c>
      <c r="I133">
        <v>2024</v>
      </c>
      <c r="J133">
        <v>7</v>
      </c>
    </row>
    <row r="134" spans="1:10" x14ac:dyDescent="0.3">
      <c r="A134">
        <v>205</v>
      </c>
      <c r="B134">
        <v>20</v>
      </c>
      <c r="C134">
        <v>3</v>
      </c>
      <c r="D134">
        <v>45</v>
      </c>
      <c r="E134">
        <v>135</v>
      </c>
      <c r="F134">
        <v>39</v>
      </c>
      <c r="G134" s="1">
        <v>45596</v>
      </c>
      <c r="H134" t="s">
        <v>11</v>
      </c>
      <c r="I134">
        <v>2024</v>
      </c>
      <c r="J134">
        <v>10</v>
      </c>
    </row>
    <row r="135" spans="1:10" x14ac:dyDescent="0.3">
      <c r="A135">
        <v>205</v>
      </c>
      <c r="B135">
        <v>13</v>
      </c>
      <c r="C135">
        <v>2</v>
      </c>
      <c r="D135">
        <v>84</v>
      </c>
      <c r="E135">
        <v>168</v>
      </c>
      <c r="F135">
        <v>39</v>
      </c>
      <c r="G135" s="1">
        <v>45596</v>
      </c>
      <c r="H135" t="s">
        <v>11</v>
      </c>
      <c r="I135">
        <v>2024</v>
      </c>
      <c r="J135">
        <v>10</v>
      </c>
    </row>
    <row r="136" spans="1:10" x14ac:dyDescent="0.3">
      <c r="A136">
        <v>205</v>
      </c>
      <c r="B136">
        <v>44</v>
      </c>
      <c r="C136">
        <v>1</v>
      </c>
      <c r="D136">
        <v>71</v>
      </c>
      <c r="E136">
        <v>71</v>
      </c>
      <c r="F136">
        <v>39</v>
      </c>
      <c r="G136" s="1">
        <v>45596</v>
      </c>
      <c r="H136" t="s">
        <v>11</v>
      </c>
      <c r="I136">
        <v>2024</v>
      </c>
      <c r="J136">
        <v>10</v>
      </c>
    </row>
    <row r="137" spans="1:10" x14ac:dyDescent="0.3">
      <c r="A137">
        <v>205</v>
      </c>
      <c r="B137">
        <v>12</v>
      </c>
      <c r="C137">
        <v>3</v>
      </c>
      <c r="D137">
        <v>13</v>
      </c>
      <c r="E137">
        <v>39</v>
      </c>
      <c r="F137">
        <v>39</v>
      </c>
      <c r="G137" s="1">
        <v>45596</v>
      </c>
      <c r="H137" t="s">
        <v>11</v>
      </c>
      <c r="I137">
        <v>2024</v>
      </c>
      <c r="J137">
        <v>10</v>
      </c>
    </row>
    <row r="138" spans="1:10" x14ac:dyDescent="0.3">
      <c r="A138">
        <v>59</v>
      </c>
      <c r="B138">
        <v>39</v>
      </c>
      <c r="C138">
        <v>4</v>
      </c>
      <c r="D138">
        <v>30</v>
      </c>
      <c r="E138">
        <v>120</v>
      </c>
      <c r="F138">
        <v>271</v>
      </c>
      <c r="G138" s="1">
        <v>45442</v>
      </c>
      <c r="H138" t="s">
        <v>11</v>
      </c>
      <c r="I138">
        <v>2024</v>
      </c>
      <c r="J138">
        <v>5</v>
      </c>
    </row>
    <row r="139" spans="1:10" x14ac:dyDescent="0.3">
      <c r="A139">
        <v>59</v>
      </c>
      <c r="B139">
        <v>2</v>
      </c>
      <c r="C139">
        <v>5</v>
      </c>
      <c r="D139">
        <v>11</v>
      </c>
      <c r="E139">
        <v>55</v>
      </c>
      <c r="F139">
        <v>271</v>
      </c>
      <c r="G139" s="1">
        <v>45442</v>
      </c>
      <c r="H139" t="s">
        <v>11</v>
      </c>
      <c r="I139">
        <v>2024</v>
      </c>
      <c r="J139">
        <v>5</v>
      </c>
    </row>
    <row r="140" spans="1:10" x14ac:dyDescent="0.3">
      <c r="A140">
        <v>59</v>
      </c>
      <c r="B140">
        <v>9</v>
      </c>
      <c r="C140">
        <v>1</v>
      </c>
      <c r="D140">
        <v>88</v>
      </c>
      <c r="E140">
        <v>88</v>
      </c>
      <c r="F140">
        <v>271</v>
      </c>
      <c r="G140" s="1">
        <v>45442</v>
      </c>
      <c r="H140" t="s">
        <v>11</v>
      </c>
      <c r="I140">
        <v>2024</v>
      </c>
      <c r="J140">
        <v>5</v>
      </c>
    </row>
    <row r="141" spans="1:10" x14ac:dyDescent="0.3">
      <c r="A141">
        <v>59</v>
      </c>
      <c r="B141">
        <v>39</v>
      </c>
      <c r="C141">
        <v>2</v>
      </c>
      <c r="D141">
        <v>45</v>
      </c>
      <c r="E141">
        <v>90</v>
      </c>
      <c r="F141">
        <v>271</v>
      </c>
      <c r="G141" s="1">
        <v>45442</v>
      </c>
      <c r="H141" t="s">
        <v>11</v>
      </c>
      <c r="I141">
        <v>2024</v>
      </c>
      <c r="J141">
        <v>5</v>
      </c>
    </row>
    <row r="142" spans="1:10" x14ac:dyDescent="0.3">
      <c r="A142">
        <v>59</v>
      </c>
      <c r="B142">
        <v>49</v>
      </c>
      <c r="C142">
        <v>1</v>
      </c>
      <c r="D142">
        <v>98</v>
      </c>
      <c r="E142">
        <v>98</v>
      </c>
      <c r="F142">
        <v>271</v>
      </c>
      <c r="G142" s="1">
        <v>45442</v>
      </c>
      <c r="H142" t="s">
        <v>11</v>
      </c>
      <c r="I142">
        <v>2024</v>
      </c>
      <c r="J142">
        <v>5</v>
      </c>
    </row>
    <row r="143" spans="1:10" x14ac:dyDescent="0.3">
      <c r="A143">
        <v>59</v>
      </c>
      <c r="B143">
        <v>37</v>
      </c>
      <c r="C143">
        <v>3</v>
      </c>
      <c r="D143">
        <v>89</v>
      </c>
      <c r="E143">
        <v>267</v>
      </c>
      <c r="F143">
        <v>271</v>
      </c>
      <c r="G143" s="1">
        <v>45442</v>
      </c>
      <c r="H143" t="s">
        <v>11</v>
      </c>
      <c r="I143">
        <v>2024</v>
      </c>
      <c r="J143">
        <v>5</v>
      </c>
    </row>
    <row r="144" spans="1:10" x14ac:dyDescent="0.3">
      <c r="A144">
        <v>59</v>
      </c>
      <c r="B144">
        <v>4</v>
      </c>
      <c r="C144">
        <v>5</v>
      </c>
      <c r="D144">
        <v>86</v>
      </c>
      <c r="E144">
        <v>430</v>
      </c>
      <c r="F144">
        <v>271</v>
      </c>
      <c r="G144" s="1">
        <v>45442</v>
      </c>
      <c r="H144" t="s">
        <v>11</v>
      </c>
      <c r="I144">
        <v>2024</v>
      </c>
      <c r="J144">
        <v>5</v>
      </c>
    </row>
    <row r="145" spans="1:10" x14ac:dyDescent="0.3">
      <c r="A145">
        <v>471</v>
      </c>
      <c r="B145">
        <v>22</v>
      </c>
      <c r="C145">
        <v>1</v>
      </c>
      <c r="D145">
        <v>46</v>
      </c>
      <c r="E145">
        <v>46</v>
      </c>
      <c r="F145">
        <v>76</v>
      </c>
      <c r="G145" s="1">
        <v>45487</v>
      </c>
      <c r="H145" t="s">
        <v>11</v>
      </c>
      <c r="I145">
        <v>2024</v>
      </c>
      <c r="J145">
        <v>7</v>
      </c>
    </row>
    <row r="146" spans="1:10" x14ac:dyDescent="0.3">
      <c r="A146">
        <v>471</v>
      </c>
      <c r="B146">
        <v>47</v>
      </c>
      <c r="C146">
        <v>4</v>
      </c>
      <c r="D146">
        <v>75</v>
      </c>
      <c r="E146">
        <v>300</v>
      </c>
      <c r="F146">
        <v>76</v>
      </c>
      <c r="G146" s="1">
        <v>45487</v>
      </c>
      <c r="H146" t="s">
        <v>11</v>
      </c>
      <c r="I146">
        <v>2024</v>
      </c>
      <c r="J146">
        <v>7</v>
      </c>
    </row>
    <row r="147" spans="1:10" x14ac:dyDescent="0.3">
      <c r="A147">
        <v>471</v>
      </c>
      <c r="B147">
        <v>30</v>
      </c>
      <c r="C147">
        <v>2</v>
      </c>
      <c r="D147">
        <v>101</v>
      </c>
      <c r="E147">
        <v>202</v>
      </c>
      <c r="F147">
        <v>76</v>
      </c>
      <c r="G147" s="1">
        <v>45487</v>
      </c>
      <c r="H147" t="s">
        <v>11</v>
      </c>
      <c r="I147">
        <v>2024</v>
      </c>
      <c r="J147">
        <v>7</v>
      </c>
    </row>
    <row r="148" spans="1:10" x14ac:dyDescent="0.3">
      <c r="A148">
        <v>471</v>
      </c>
      <c r="B148">
        <v>13</v>
      </c>
      <c r="C148">
        <v>3</v>
      </c>
      <c r="D148">
        <v>81</v>
      </c>
      <c r="E148">
        <v>243</v>
      </c>
      <c r="F148">
        <v>76</v>
      </c>
      <c r="G148" s="1">
        <v>45487</v>
      </c>
      <c r="H148" t="s">
        <v>11</v>
      </c>
      <c r="I148">
        <v>2024</v>
      </c>
      <c r="J148">
        <v>7</v>
      </c>
    </row>
    <row r="149" spans="1:10" x14ac:dyDescent="0.3">
      <c r="A149">
        <v>471</v>
      </c>
      <c r="B149">
        <v>43</v>
      </c>
      <c r="C149">
        <v>5</v>
      </c>
      <c r="D149">
        <v>91</v>
      </c>
      <c r="E149">
        <v>455</v>
      </c>
      <c r="F149">
        <v>76</v>
      </c>
      <c r="G149" s="1">
        <v>45487</v>
      </c>
      <c r="H149" t="s">
        <v>11</v>
      </c>
      <c r="I149">
        <v>2024</v>
      </c>
      <c r="J149">
        <v>7</v>
      </c>
    </row>
    <row r="150" spans="1:10" x14ac:dyDescent="0.3">
      <c r="A150">
        <v>471</v>
      </c>
      <c r="B150">
        <v>21</v>
      </c>
      <c r="C150">
        <v>3</v>
      </c>
      <c r="D150">
        <v>70</v>
      </c>
      <c r="E150">
        <v>210</v>
      </c>
      <c r="F150">
        <v>76</v>
      </c>
      <c r="G150" s="1">
        <v>45487</v>
      </c>
      <c r="H150" t="s">
        <v>11</v>
      </c>
      <c r="I150">
        <v>2024</v>
      </c>
      <c r="J150">
        <v>7</v>
      </c>
    </row>
    <row r="151" spans="1:10" x14ac:dyDescent="0.3">
      <c r="A151">
        <v>471</v>
      </c>
      <c r="B151">
        <v>1</v>
      </c>
      <c r="C151">
        <v>4</v>
      </c>
      <c r="D151">
        <v>40</v>
      </c>
      <c r="E151">
        <v>160</v>
      </c>
      <c r="F151">
        <v>76</v>
      </c>
      <c r="G151" s="1">
        <v>45487</v>
      </c>
      <c r="H151" t="s">
        <v>11</v>
      </c>
      <c r="I151">
        <v>2024</v>
      </c>
      <c r="J151">
        <v>7</v>
      </c>
    </row>
    <row r="152" spans="1:10" x14ac:dyDescent="0.3">
      <c r="A152">
        <v>776</v>
      </c>
      <c r="B152">
        <v>4</v>
      </c>
      <c r="C152">
        <v>5</v>
      </c>
      <c r="D152">
        <v>33</v>
      </c>
      <c r="E152">
        <v>165</v>
      </c>
      <c r="F152">
        <v>6</v>
      </c>
      <c r="G152" s="1">
        <v>45335</v>
      </c>
      <c r="H152" t="s">
        <v>11</v>
      </c>
      <c r="I152">
        <v>2024</v>
      </c>
      <c r="J152">
        <v>2</v>
      </c>
    </row>
    <row r="153" spans="1:10" x14ac:dyDescent="0.3">
      <c r="A153">
        <v>776</v>
      </c>
      <c r="B153">
        <v>49</v>
      </c>
      <c r="C153">
        <v>3</v>
      </c>
      <c r="D153">
        <v>106</v>
      </c>
      <c r="E153">
        <v>318</v>
      </c>
      <c r="F153">
        <v>6</v>
      </c>
      <c r="G153" s="1">
        <v>45335</v>
      </c>
      <c r="H153" t="s">
        <v>11</v>
      </c>
      <c r="I153">
        <v>2024</v>
      </c>
      <c r="J153">
        <v>2</v>
      </c>
    </row>
    <row r="154" spans="1:10" x14ac:dyDescent="0.3">
      <c r="A154">
        <v>776</v>
      </c>
      <c r="B154">
        <v>40</v>
      </c>
      <c r="C154">
        <v>5</v>
      </c>
      <c r="D154">
        <v>109</v>
      </c>
      <c r="E154">
        <v>545</v>
      </c>
      <c r="F154">
        <v>6</v>
      </c>
      <c r="G154" s="1">
        <v>45335</v>
      </c>
      <c r="H154" t="s">
        <v>11</v>
      </c>
      <c r="I154">
        <v>2024</v>
      </c>
      <c r="J154">
        <v>2</v>
      </c>
    </row>
    <row r="155" spans="1:10" x14ac:dyDescent="0.3">
      <c r="A155">
        <v>776</v>
      </c>
      <c r="B155">
        <v>45</v>
      </c>
      <c r="C155">
        <v>2</v>
      </c>
      <c r="D155">
        <v>65</v>
      </c>
      <c r="E155">
        <v>130</v>
      </c>
      <c r="F155">
        <v>6</v>
      </c>
      <c r="G155" s="1">
        <v>45335</v>
      </c>
      <c r="H155" t="s">
        <v>11</v>
      </c>
      <c r="I155">
        <v>2024</v>
      </c>
      <c r="J155">
        <v>2</v>
      </c>
    </row>
    <row r="156" spans="1:10" x14ac:dyDescent="0.3">
      <c r="A156">
        <v>776</v>
      </c>
      <c r="B156">
        <v>7</v>
      </c>
      <c r="C156">
        <v>1</v>
      </c>
      <c r="D156">
        <v>87</v>
      </c>
      <c r="E156">
        <v>87</v>
      </c>
      <c r="F156">
        <v>6</v>
      </c>
      <c r="G156" s="1">
        <v>45335</v>
      </c>
      <c r="H156" t="s">
        <v>11</v>
      </c>
      <c r="I156">
        <v>2024</v>
      </c>
      <c r="J156">
        <v>2</v>
      </c>
    </row>
    <row r="157" spans="1:10" x14ac:dyDescent="0.3">
      <c r="A157">
        <v>466</v>
      </c>
      <c r="B157">
        <v>13</v>
      </c>
      <c r="C157">
        <v>3</v>
      </c>
      <c r="D157">
        <v>64</v>
      </c>
      <c r="E157">
        <v>192</v>
      </c>
      <c r="F157">
        <v>187</v>
      </c>
      <c r="G157" s="1">
        <v>45351</v>
      </c>
      <c r="H157" t="s">
        <v>11</v>
      </c>
      <c r="I157">
        <v>2024</v>
      </c>
      <c r="J157">
        <v>2</v>
      </c>
    </row>
    <row r="158" spans="1:10" x14ac:dyDescent="0.3">
      <c r="A158">
        <v>12</v>
      </c>
      <c r="B158">
        <v>45</v>
      </c>
      <c r="C158">
        <v>4</v>
      </c>
      <c r="D158">
        <v>34</v>
      </c>
      <c r="E158">
        <v>136</v>
      </c>
      <c r="F158">
        <v>152</v>
      </c>
      <c r="G158" s="1">
        <v>45513</v>
      </c>
      <c r="H158" t="s">
        <v>11</v>
      </c>
      <c r="I158">
        <v>2024</v>
      </c>
      <c r="J158">
        <v>8</v>
      </c>
    </row>
    <row r="159" spans="1:10" x14ac:dyDescent="0.3">
      <c r="A159">
        <v>12</v>
      </c>
      <c r="B159">
        <v>28</v>
      </c>
      <c r="C159">
        <v>2</v>
      </c>
      <c r="D159">
        <v>20</v>
      </c>
      <c r="E159">
        <v>40</v>
      </c>
      <c r="F159">
        <v>152</v>
      </c>
      <c r="G159" s="1">
        <v>45513</v>
      </c>
      <c r="H159" t="s">
        <v>11</v>
      </c>
      <c r="I159">
        <v>2024</v>
      </c>
      <c r="J159">
        <v>8</v>
      </c>
    </row>
    <row r="160" spans="1:10" x14ac:dyDescent="0.3">
      <c r="A160">
        <v>12</v>
      </c>
      <c r="B160">
        <v>14</v>
      </c>
      <c r="C160">
        <v>1</v>
      </c>
      <c r="D160">
        <v>71</v>
      </c>
      <c r="E160">
        <v>71</v>
      </c>
      <c r="F160">
        <v>152</v>
      </c>
      <c r="G160" s="1">
        <v>45513</v>
      </c>
      <c r="H160" t="s">
        <v>11</v>
      </c>
      <c r="I160">
        <v>2024</v>
      </c>
      <c r="J160">
        <v>8</v>
      </c>
    </row>
    <row r="161" spans="1:10" x14ac:dyDescent="0.3">
      <c r="A161">
        <v>631</v>
      </c>
      <c r="B161">
        <v>42</v>
      </c>
      <c r="C161">
        <v>5</v>
      </c>
      <c r="D161">
        <v>16</v>
      </c>
      <c r="E161">
        <v>80</v>
      </c>
      <c r="F161">
        <v>34</v>
      </c>
      <c r="G161" s="1">
        <v>45639</v>
      </c>
      <c r="H161" t="s">
        <v>11</v>
      </c>
      <c r="I161">
        <v>2024</v>
      </c>
      <c r="J161">
        <v>12</v>
      </c>
    </row>
    <row r="162" spans="1:10" x14ac:dyDescent="0.3">
      <c r="A162">
        <v>631</v>
      </c>
      <c r="B162">
        <v>31</v>
      </c>
      <c r="C162">
        <v>5</v>
      </c>
      <c r="D162">
        <v>24</v>
      </c>
      <c r="E162">
        <v>120</v>
      </c>
      <c r="F162">
        <v>34</v>
      </c>
      <c r="G162" s="1">
        <v>45639</v>
      </c>
      <c r="H162" t="s">
        <v>11</v>
      </c>
      <c r="I162">
        <v>2024</v>
      </c>
      <c r="J162">
        <v>12</v>
      </c>
    </row>
    <row r="163" spans="1:10" x14ac:dyDescent="0.3">
      <c r="A163">
        <v>631</v>
      </c>
      <c r="B163">
        <v>7</v>
      </c>
      <c r="C163">
        <v>4</v>
      </c>
      <c r="D163">
        <v>115</v>
      </c>
      <c r="E163">
        <v>460</v>
      </c>
      <c r="F163">
        <v>34</v>
      </c>
      <c r="G163" s="1">
        <v>45639</v>
      </c>
      <c r="H163" t="s">
        <v>11</v>
      </c>
      <c r="I163">
        <v>2024</v>
      </c>
      <c r="J163">
        <v>12</v>
      </c>
    </row>
    <row r="164" spans="1:10" x14ac:dyDescent="0.3">
      <c r="A164">
        <v>631</v>
      </c>
      <c r="B164">
        <v>34</v>
      </c>
      <c r="C164">
        <v>5</v>
      </c>
      <c r="D164">
        <v>106</v>
      </c>
      <c r="E164">
        <v>530</v>
      </c>
      <c r="F164">
        <v>34</v>
      </c>
      <c r="G164" s="1">
        <v>45639</v>
      </c>
      <c r="H164" t="s">
        <v>11</v>
      </c>
      <c r="I164">
        <v>2024</v>
      </c>
      <c r="J164">
        <v>12</v>
      </c>
    </row>
    <row r="165" spans="1:10" x14ac:dyDescent="0.3">
      <c r="A165">
        <v>927</v>
      </c>
      <c r="B165">
        <v>50</v>
      </c>
      <c r="C165">
        <v>3</v>
      </c>
      <c r="D165">
        <v>115</v>
      </c>
      <c r="E165">
        <v>345</v>
      </c>
      <c r="F165">
        <v>38</v>
      </c>
      <c r="G165" s="1">
        <v>45408</v>
      </c>
      <c r="H165" t="s">
        <v>11</v>
      </c>
      <c r="I165">
        <v>2024</v>
      </c>
      <c r="J165">
        <v>4</v>
      </c>
    </row>
    <row r="166" spans="1:10" x14ac:dyDescent="0.3">
      <c r="A166">
        <v>354</v>
      </c>
      <c r="B166">
        <v>36</v>
      </c>
      <c r="C166">
        <v>2</v>
      </c>
      <c r="D166">
        <v>106</v>
      </c>
      <c r="E166">
        <v>212</v>
      </c>
      <c r="F166">
        <v>92</v>
      </c>
      <c r="G166" s="1">
        <v>45507</v>
      </c>
      <c r="H166" t="s">
        <v>11</v>
      </c>
      <c r="I166">
        <v>2024</v>
      </c>
      <c r="J166">
        <v>8</v>
      </c>
    </row>
    <row r="167" spans="1:10" x14ac:dyDescent="0.3">
      <c r="A167">
        <v>354</v>
      </c>
      <c r="B167">
        <v>50</v>
      </c>
      <c r="C167">
        <v>1</v>
      </c>
      <c r="D167">
        <v>95</v>
      </c>
      <c r="E167">
        <v>95</v>
      </c>
      <c r="F167">
        <v>92</v>
      </c>
      <c r="G167" s="1">
        <v>45507</v>
      </c>
      <c r="H167" t="s">
        <v>11</v>
      </c>
      <c r="I167">
        <v>2024</v>
      </c>
      <c r="J167">
        <v>8</v>
      </c>
    </row>
    <row r="168" spans="1:10" x14ac:dyDescent="0.3">
      <c r="A168">
        <v>354</v>
      </c>
      <c r="B168">
        <v>42</v>
      </c>
      <c r="C168">
        <v>2</v>
      </c>
      <c r="D168">
        <v>63</v>
      </c>
      <c r="E168">
        <v>126</v>
      </c>
      <c r="F168">
        <v>92</v>
      </c>
      <c r="G168" s="1">
        <v>45507</v>
      </c>
      <c r="H168" t="s">
        <v>11</v>
      </c>
      <c r="I168">
        <v>2024</v>
      </c>
      <c r="J168">
        <v>8</v>
      </c>
    </row>
    <row r="169" spans="1:10" x14ac:dyDescent="0.3">
      <c r="A169">
        <v>354</v>
      </c>
      <c r="B169">
        <v>44</v>
      </c>
      <c r="C169">
        <v>3</v>
      </c>
      <c r="D169">
        <v>20</v>
      </c>
      <c r="E169">
        <v>60</v>
      </c>
      <c r="F169">
        <v>92</v>
      </c>
      <c r="G169" s="1">
        <v>45507</v>
      </c>
      <c r="H169" t="s">
        <v>11</v>
      </c>
      <c r="I169">
        <v>2024</v>
      </c>
      <c r="J169">
        <v>8</v>
      </c>
    </row>
    <row r="170" spans="1:10" x14ac:dyDescent="0.3">
      <c r="A170">
        <v>639</v>
      </c>
      <c r="B170">
        <v>33</v>
      </c>
      <c r="C170">
        <v>2</v>
      </c>
      <c r="D170">
        <v>80</v>
      </c>
      <c r="E170">
        <v>160</v>
      </c>
      <c r="F170">
        <v>259</v>
      </c>
      <c r="G170" s="1">
        <v>45499</v>
      </c>
      <c r="H170" t="s">
        <v>11</v>
      </c>
      <c r="I170">
        <v>2024</v>
      </c>
      <c r="J170">
        <v>7</v>
      </c>
    </row>
    <row r="171" spans="1:10" x14ac:dyDescent="0.3">
      <c r="A171">
        <v>639</v>
      </c>
      <c r="B171">
        <v>48</v>
      </c>
      <c r="C171">
        <v>3</v>
      </c>
      <c r="D171">
        <v>26</v>
      </c>
      <c r="E171">
        <v>78</v>
      </c>
      <c r="F171">
        <v>259</v>
      </c>
      <c r="G171" s="1">
        <v>45499</v>
      </c>
      <c r="H171" t="s">
        <v>11</v>
      </c>
      <c r="I171">
        <v>2024</v>
      </c>
      <c r="J171">
        <v>7</v>
      </c>
    </row>
    <row r="172" spans="1:10" x14ac:dyDescent="0.3">
      <c r="A172">
        <v>75</v>
      </c>
      <c r="B172">
        <v>1</v>
      </c>
      <c r="C172">
        <v>4</v>
      </c>
      <c r="D172">
        <v>33</v>
      </c>
      <c r="E172">
        <v>132</v>
      </c>
      <c r="F172">
        <v>65</v>
      </c>
      <c r="G172" s="1">
        <v>45552</v>
      </c>
      <c r="H172" t="s">
        <v>11</v>
      </c>
      <c r="I172">
        <v>2024</v>
      </c>
      <c r="J172">
        <v>9</v>
      </c>
    </row>
    <row r="173" spans="1:10" x14ac:dyDescent="0.3">
      <c r="A173">
        <v>75</v>
      </c>
      <c r="B173">
        <v>39</v>
      </c>
      <c r="C173">
        <v>2</v>
      </c>
      <c r="D173">
        <v>28</v>
      </c>
      <c r="E173">
        <v>56</v>
      </c>
      <c r="F173">
        <v>65</v>
      </c>
      <c r="G173" s="1">
        <v>45552</v>
      </c>
      <c r="H173" t="s">
        <v>11</v>
      </c>
      <c r="I173">
        <v>2024</v>
      </c>
      <c r="J173">
        <v>9</v>
      </c>
    </row>
    <row r="174" spans="1:10" x14ac:dyDescent="0.3">
      <c r="A174">
        <v>873</v>
      </c>
      <c r="B174">
        <v>15</v>
      </c>
      <c r="C174">
        <v>1</v>
      </c>
      <c r="D174">
        <v>20</v>
      </c>
      <c r="E174">
        <v>20</v>
      </c>
      <c r="F174">
        <v>23</v>
      </c>
      <c r="G174" s="1">
        <v>45423</v>
      </c>
      <c r="H174" t="s">
        <v>11</v>
      </c>
      <c r="I174">
        <v>2024</v>
      </c>
      <c r="J174">
        <v>5</v>
      </c>
    </row>
    <row r="175" spans="1:10" x14ac:dyDescent="0.3">
      <c r="A175">
        <v>873</v>
      </c>
      <c r="B175">
        <v>40</v>
      </c>
      <c r="C175">
        <v>1</v>
      </c>
      <c r="D175">
        <v>64</v>
      </c>
      <c r="E175">
        <v>64</v>
      </c>
      <c r="F175">
        <v>23</v>
      </c>
      <c r="G175" s="1">
        <v>45423</v>
      </c>
      <c r="H175" t="s">
        <v>11</v>
      </c>
      <c r="I175">
        <v>2024</v>
      </c>
      <c r="J175">
        <v>5</v>
      </c>
    </row>
    <row r="176" spans="1:10" x14ac:dyDescent="0.3">
      <c r="A176">
        <v>716</v>
      </c>
      <c r="B176">
        <v>13</v>
      </c>
      <c r="C176">
        <v>2</v>
      </c>
      <c r="D176">
        <v>82</v>
      </c>
      <c r="E176">
        <v>164</v>
      </c>
      <c r="F176">
        <v>107</v>
      </c>
      <c r="G176" s="1">
        <v>45516</v>
      </c>
      <c r="H176" t="s">
        <v>11</v>
      </c>
      <c r="I176">
        <v>2024</v>
      </c>
      <c r="J176">
        <v>8</v>
      </c>
    </row>
    <row r="177" spans="1:10" x14ac:dyDescent="0.3">
      <c r="A177">
        <v>716</v>
      </c>
      <c r="B177">
        <v>23</v>
      </c>
      <c r="C177">
        <v>2</v>
      </c>
      <c r="D177">
        <v>75</v>
      </c>
      <c r="E177">
        <v>150</v>
      </c>
      <c r="F177">
        <v>107</v>
      </c>
      <c r="G177" s="1">
        <v>45516</v>
      </c>
      <c r="H177" t="s">
        <v>11</v>
      </c>
      <c r="I177">
        <v>2024</v>
      </c>
      <c r="J177">
        <v>8</v>
      </c>
    </row>
    <row r="178" spans="1:10" x14ac:dyDescent="0.3">
      <c r="A178">
        <v>716</v>
      </c>
      <c r="B178">
        <v>28</v>
      </c>
      <c r="C178">
        <v>3</v>
      </c>
      <c r="D178">
        <v>39</v>
      </c>
      <c r="E178">
        <v>117</v>
      </c>
      <c r="F178">
        <v>107</v>
      </c>
      <c r="G178" s="1">
        <v>45516</v>
      </c>
      <c r="H178" t="s">
        <v>11</v>
      </c>
      <c r="I178">
        <v>2024</v>
      </c>
      <c r="J178">
        <v>8</v>
      </c>
    </row>
    <row r="179" spans="1:10" x14ac:dyDescent="0.3">
      <c r="A179">
        <v>716</v>
      </c>
      <c r="B179">
        <v>39</v>
      </c>
      <c r="C179">
        <v>3</v>
      </c>
      <c r="D179">
        <v>93</v>
      </c>
      <c r="E179">
        <v>279</v>
      </c>
      <c r="F179">
        <v>107</v>
      </c>
      <c r="G179" s="1">
        <v>45516</v>
      </c>
      <c r="H179" t="s">
        <v>11</v>
      </c>
      <c r="I179">
        <v>2024</v>
      </c>
      <c r="J179">
        <v>8</v>
      </c>
    </row>
    <row r="180" spans="1:10" x14ac:dyDescent="0.3">
      <c r="A180">
        <v>561</v>
      </c>
      <c r="B180">
        <v>17</v>
      </c>
      <c r="C180">
        <v>5</v>
      </c>
      <c r="D180">
        <v>21</v>
      </c>
      <c r="E180">
        <v>105</v>
      </c>
      <c r="F180">
        <v>1</v>
      </c>
      <c r="G180" s="1">
        <v>45300</v>
      </c>
      <c r="H180" t="s">
        <v>11</v>
      </c>
      <c r="I180">
        <v>2024</v>
      </c>
      <c r="J180">
        <v>1</v>
      </c>
    </row>
    <row r="181" spans="1:10" x14ac:dyDescent="0.3">
      <c r="A181">
        <v>561</v>
      </c>
      <c r="B181">
        <v>12</v>
      </c>
      <c r="C181">
        <v>1</v>
      </c>
      <c r="D181">
        <v>26</v>
      </c>
      <c r="E181">
        <v>26</v>
      </c>
      <c r="F181">
        <v>1</v>
      </c>
      <c r="G181" s="1">
        <v>45300</v>
      </c>
      <c r="H181" t="s">
        <v>11</v>
      </c>
      <c r="I181">
        <v>2024</v>
      </c>
      <c r="J181">
        <v>1</v>
      </c>
    </row>
    <row r="182" spans="1:10" x14ac:dyDescent="0.3">
      <c r="A182">
        <v>561</v>
      </c>
      <c r="B182">
        <v>16</v>
      </c>
      <c r="C182">
        <v>4</v>
      </c>
      <c r="D182">
        <v>69</v>
      </c>
      <c r="E182">
        <v>276</v>
      </c>
      <c r="F182">
        <v>1</v>
      </c>
      <c r="G182" s="1">
        <v>45300</v>
      </c>
      <c r="H182" t="s">
        <v>11</v>
      </c>
      <c r="I182">
        <v>2024</v>
      </c>
      <c r="J182">
        <v>1</v>
      </c>
    </row>
    <row r="183" spans="1:10" x14ac:dyDescent="0.3">
      <c r="A183">
        <v>591</v>
      </c>
      <c r="B183">
        <v>24</v>
      </c>
      <c r="C183">
        <v>3</v>
      </c>
      <c r="D183">
        <v>44</v>
      </c>
      <c r="E183">
        <v>132</v>
      </c>
      <c r="F183">
        <v>197</v>
      </c>
      <c r="G183" s="1">
        <v>45451</v>
      </c>
      <c r="H183" t="s">
        <v>11</v>
      </c>
      <c r="I183">
        <v>2024</v>
      </c>
      <c r="J183">
        <v>6</v>
      </c>
    </row>
    <row r="184" spans="1:10" x14ac:dyDescent="0.3">
      <c r="A184">
        <v>591</v>
      </c>
      <c r="B184">
        <v>24</v>
      </c>
      <c r="C184">
        <v>5</v>
      </c>
      <c r="D184">
        <v>75</v>
      </c>
      <c r="E184">
        <v>375</v>
      </c>
      <c r="F184">
        <v>197</v>
      </c>
      <c r="G184" s="1">
        <v>45451</v>
      </c>
      <c r="H184" t="s">
        <v>11</v>
      </c>
      <c r="I184">
        <v>2024</v>
      </c>
      <c r="J184">
        <v>6</v>
      </c>
    </row>
    <row r="185" spans="1:10" x14ac:dyDescent="0.3">
      <c r="A185">
        <v>591</v>
      </c>
      <c r="B185">
        <v>6</v>
      </c>
      <c r="C185">
        <v>4</v>
      </c>
      <c r="D185">
        <v>113</v>
      </c>
      <c r="E185">
        <v>452</v>
      </c>
      <c r="F185">
        <v>197</v>
      </c>
      <c r="G185" s="1">
        <v>45451</v>
      </c>
      <c r="H185" t="s">
        <v>11</v>
      </c>
      <c r="I185">
        <v>2024</v>
      </c>
      <c r="J185">
        <v>6</v>
      </c>
    </row>
    <row r="186" spans="1:10" x14ac:dyDescent="0.3">
      <c r="A186">
        <v>441</v>
      </c>
      <c r="B186">
        <v>8</v>
      </c>
      <c r="C186">
        <v>2</v>
      </c>
      <c r="D186">
        <v>72</v>
      </c>
      <c r="E186">
        <v>144</v>
      </c>
      <c r="F186">
        <v>217</v>
      </c>
      <c r="G186" s="1">
        <v>45647</v>
      </c>
      <c r="H186" t="s">
        <v>11</v>
      </c>
      <c r="I186">
        <v>2024</v>
      </c>
      <c r="J186">
        <v>12</v>
      </c>
    </row>
    <row r="187" spans="1:10" x14ac:dyDescent="0.3">
      <c r="A187">
        <v>441</v>
      </c>
      <c r="B187">
        <v>45</v>
      </c>
      <c r="C187">
        <v>5</v>
      </c>
      <c r="D187">
        <v>43</v>
      </c>
      <c r="E187">
        <v>215</v>
      </c>
      <c r="F187">
        <v>217</v>
      </c>
      <c r="G187" s="1">
        <v>45647</v>
      </c>
      <c r="H187" t="s">
        <v>11</v>
      </c>
      <c r="I187">
        <v>2024</v>
      </c>
      <c r="J187">
        <v>12</v>
      </c>
    </row>
    <row r="188" spans="1:10" x14ac:dyDescent="0.3">
      <c r="A188">
        <v>991</v>
      </c>
      <c r="B188">
        <v>50</v>
      </c>
      <c r="C188">
        <v>1</v>
      </c>
      <c r="D188">
        <v>77</v>
      </c>
      <c r="E188">
        <v>77</v>
      </c>
      <c r="F188">
        <v>189</v>
      </c>
      <c r="G188" s="1">
        <v>45445</v>
      </c>
      <c r="H188" t="s">
        <v>11</v>
      </c>
      <c r="I188">
        <v>2024</v>
      </c>
      <c r="J188">
        <v>6</v>
      </c>
    </row>
    <row r="189" spans="1:10" x14ac:dyDescent="0.3">
      <c r="A189">
        <v>991</v>
      </c>
      <c r="B189">
        <v>13</v>
      </c>
      <c r="C189">
        <v>5</v>
      </c>
      <c r="D189">
        <v>60</v>
      </c>
      <c r="E189">
        <v>300</v>
      </c>
      <c r="F189">
        <v>189</v>
      </c>
      <c r="G189" s="1">
        <v>45445</v>
      </c>
      <c r="H189" t="s">
        <v>11</v>
      </c>
      <c r="I189">
        <v>2024</v>
      </c>
      <c r="J189">
        <v>6</v>
      </c>
    </row>
    <row r="190" spans="1:10" x14ac:dyDescent="0.3">
      <c r="A190">
        <v>991</v>
      </c>
      <c r="B190">
        <v>16</v>
      </c>
      <c r="C190">
        <v>3</v>
      </c>
      <c r="D190">
        <v>61</v>
      </c>
      <c r="E190">
        <v>183</v>
      </c>
      <c r="F190">
        <v>189</v>
      </c>
      <c r="G190" s="1">
        <v>45445</v>
      </c>
      <c r="H190" t="s">
        <v>11</v>
      </c>
      <c r="I190">
        <v>2024</v>
      </c>
      <c r="J190">
        <v>6</v>
      </c>
    </row>
    <row r="191" spans="1:10" x14ac:dyDescent="0.3">
      <c r="A191">
        <v>241</v>
      </c>
      <c r="B191">
        <v>27</v>
      </c>
      <c r="C191">
        <v>2</v>
      </c>
      <c r="D191">
        <v>109</v>
      </c>
      <c r="E191">
        <v>218</v>
      </c>
      <c r="F191">
        <v>163</v>
      </c>
      <c r="G191" s="1">
        <v>45428</v>
      </c>
      <c r="H191" t="s">
        <v>11</v>
      </c>
      <c r="I191">
        <v>2024</v>
      </c>
      <c r="J191">
        <v>5</v>
      </c>
    </row>
    <row r="192" spans="1:10" x14ac:dyDescent="0.3">
      <c r="A192">
        <v>861</v>
      </c>
      <c r="B192">
        <v>45</v>
      </c>
      <c r="C192">
        <v>3</v>
      </c>
      <c r="D192">
        <v>101</v>
      </c>
      <c r="E192">
        <v>303</v>
      </c>
      <c r="F192">
        <v>132</v>
      </c>
      <c r="G192" s="1">
        <v>45452</v>
      </c>
      <c r="H192" t="s">
        <v>11</v>
      </c>
      <c r="I192">
        <v>2024</v>
      </c>
      <c r="J192">
        <v>6</v>
      </c>
    </row>
    <row r="193" spans="1:10" x14ac:dyDescent="0.3">
      <c r="A193">
        <v>861</v>
      </c>
      <c r="B193">
        <v>11</v>
      </c>
      <c r="C193">
        <v>4</v>
      </c>
      <c r="D193">
        <v>91</v>
      </c>
      <c r="E193">
        <v>364</v>
      </c>
      <c r="F193">
        <v>132</v>
      </c>
      <c r="G193" s="1">
        <v>45452</v>
      </c>
      <c r="H193" t="s">
        <v>11</v>
      </c>
      <c r="I193">
        <v>2024</v>
      </c>
      <c r="J193">
        <v>6</v>
      </c>
    </row>
    <row r="194" spans="1:10" x14ac:dyDescent="0.3">
      <c r="A194">
        <v>154</v>
      </c>
      <c r="B194">
        <v>23</v>
      </c>
      <c r="C194">
        <v>1</v>
      </c>
      <c r="D194">
        <v>66</v>
      </c>
      <c r="E194">
        <v>66</v>
      </c>
      <c r="F194">
        <v>172</v>
      </c>
      <c r="G194" s="1">
        <v>45440</v>
      </c>
      <c r="H194" t="s">
        <v>11</v>
      </c>
      <c r="I194">
        <v>2024</v>
      </c>
      <c r="J194">
        <v>5</v>
      </c>
    </row>
    <row r="195" spans="1:10" x14ac:dyDescent="0.3">
      <c r="A195">
        <v>154</v>
      </c>
      <c r="B195">
        <v>39</v>
      </c>
      <c r="C195">
        <v>2</v>
      </c>
      <c r="D195">
        <v>10</v>
      </c>
      <c r="E195">
        <v>20</v>
      </c>
      <c r="F195">
        <v>172</v>
      </c>
      <c r="G195" s="1">
        <v>45440</v>
      </c>
      <c r="H195" t="s">
        <v>11</v>
      </c>
      <c r="I195">
        <v>2024</v>
      </c>
      <c r="J195">
        <v>5</v>
      </c>
    </row>
    <row r="196" spans="1:10" x14ac:dyDescent="0.3">
      <c r="A196">
        <v>154</v>
      </c>
      <c r="B196">
        <v>42</v>
      </c>
      <c r="C196">
        <v>1</v>
      </c>
      <c r="D196">
        <v>13</v>
      </c>
      <c r="E196">
        <v>13</v>
      </c>
      <c r="F196">
        <v>172</v>
      </c>
      <c r="G196" s="1">
        <v>45440</v>
      </c>
      <c r="H196" t="s">
        <v>11</v>
      </c>
      <c r="I196">
        <v>2024</v>
      </c>
      <c r="J196">
        <v>5</v>
      </c>
    </row>
    <row r="197" spans="1:10" x14ac:dyDescent="0.3">
      <c r="A197">
        <v>154</v>
      </c>
      <c r="B197">
        <v>21</v>
      </c>
      <c r="C197">
        <v>3</v>
      </c>
      <c r="D197">
        <v>108</v>
      </c>
      <c r="E197">
        <v>324</v>
      </c>
      <c r="F197">
        <v>172</v>
      </c>
      <c r="G197" s="1">
        <v>45440</v>
      </c>
      <c r="H197" t="s">
        <v>11</v>
      </c>
      <c r="I197">
        <v>2024</v>
      </c>
      <c r="J197">
        <v>5</v>
      </c>
    </row>
    <row r="198" spans="1:10" x14ac:dyDescent="0.3">
      <c r="A198">
        <v>154</v>
      </c>
      <c r="B198">
        <v>26</v>
      </c>
      <c r="C198">
        <v>1</v>
      </c>
      <c r="D198">
        <v>12</v>
      </c>
      <c r="E198">
        <v>12</v>
      </c>
      <c r="F198">
        <v>172</v>
      </c>
      <c r="G198" s="1">
        <v>45440</v>
      </c>
      <c r="H198" t="s">
        <v>11</v>
      </c>
      <c r="I198">
        <v>2024</v>
      </c>
      <c r="J198">
        <v>5</v>
      </c>
    </row>
    <row r="199" spans="1:10" x14ac:dyDescent="0.3">
      <c r="A199">
        <v>154</v>
      </c>
      <c r="B199">
        <v>12</v>
      </c>
      <c r="C199">
        <v>4</v>
      </c>
      <c r="D199">
        <v>117</v>
      </c>
      <c r="E199">
        <v>468</v>
      </c>
      <c r="F199">
        <v>172</v>
      </c>
      <c r="G199" s="1">
        <v>45440</v>
      </c>
      <c r="H199" t="s">
        <v>11</v>
      </c>
      <c r="I199">
        <v>2024</v>
      </c>
      <c r="J199">
        <v>5</v>
      </c>
    </row>
    <row r="200" spans="1:10" x14ac:dyDescent="0.3">
      <c r="A200">
        <v>96</v>
      </c>
      <c r="B200">
        <v>8</v>
      </c>
      <c r="C200">
        <v>1</v>
      </c>
      <c r="D200">
        <v>32</v>
      </c>
      <c r="E200">
        <v>32</v>
      </c>
      <c r="F200">
        <v>99</v>
      </c>
      <c r="G200" s="1">
        <v>45305</v>
      </c>
      <c r="H200" t="s">
        <v>11</v>
      </c>
      <c r="I200">
        <v>2024</v>
      </c>
      <c r="J200">
        <v>1</v>
      </c>
    </row>
    <row r="201" spans="1:10" x14ac:dyDescent="0.3">
      <c r="A201">
        <v>96</v>
      </c>
      <c r="B201">
        <v>10</v>
      </c>
      <c r="C201">
        <v>1</v>
      </c>
      <c r="D201">
        <v>27</v>
      </c>
      <c r="E201">
        <v>27</v>
      </c>
      <c r="F201">
        <v>99</v>
      </c>
      <c r="G201" s="1">
        <v>45305</v>
      </c>
      <c r="H201" t="s">
        <v>11</v>
      </c>
      <c r="I201">
        <v>2024</v>
      </c>
      <c r="J201">
        <v>1</v>
      </c>
    </row>
    <row r="202" spans="1:10" x14ac:dyDescent="0.3">
      <c r="A202">
        <v>96</v>
      </c>
      <c r="B202">
        <v>16</v>
      </c>
      <c r="C202">
        <v>4</v>
      </c>
      <c r="D202">
        <v>116</v>
      </c>
      <c r="E202">
        <v>464</v>
      </c>
      <c r="F202">
        <v>99</v>
      </c>
      <c r="G202" s="1">
        <v>45305</v>
      </c>
      <c r="H202" t="s">
        <v>11</v>
      </c>
      <c r="I202">
        <v>2024</v>
      </c>
      <c r="J202">
        <v>1</v>
      </c>
    </row>
    <row r="203" spans="1:10" x14ac:dyDescent="0.3">
      <c r="A203">
        <v>96</v>
      </c>
      <c r="B203">
        <v>23</v>
      </c>
      <c r="C203">
        <v>1</v>
      </c>
      <c r="D203">
        <v>47</v>
      </c>
      <c r="E203">
        <v>47</v>
      </c>
      <c r="F203">
        <v>99</v>
      </c>
      <c r="G203" s="1">
        <v>45305</v>
      </c>
      <c r="H203" t="s">
        <v>11</v>
      </c>
      <c r="I203">
        <v>2024</v>
      </c>
      <c r="J203">
        <v>1</v>
      </c>
    </row>
    <row r="204" spans="1:10" x14ac:dyDescent="0.3">
      <c r="A204">
        <v>294</v>
      </c>
      <c r="B204">
        <v>26</v>
      </c>
      <c r="C204">
        <v>1</v>
      </c>
      <c r="D204">
        <v>115</v>
      </c>
      <c r="E204">
        <v>115</v>
      </c>
      <c r="F204">
        <v>223</v>
      </c>
      <c r="G204" s="1">
        <v>45356</v>
      </c>
      <c r="H204" t="s">
        <v>11</v>
      </c>
      <c r="I204">
        <v>2024</v>
      </c>
      <c r="J204">
        <v>3</v>
      </c>
    </row>
    <row r="205" spans="1:10" x14ac:dyDescent="0.3">
      <c r="A205">
        <v>294</v>
      </c>
      <c r="B205">
        <v>35</v>
      </c>
      <c r="C205">
        <v>2</v>
      </c>
      <c r="D205">
        <v>19</v>
      </c>
      <c r="E205">
        <v>38</v>
      </c>
      <c r="F205">
        <v>223</v>
      </c>
      <c r="G205" s="1">
        <v>45356</v>
      </c>
      <c r="H205" t="s">
        <v>11</v>
      </c>
      <c r="I205">
        <v>2024</v>
      </c>
      <c r="J205">
        <v>3</v>
      </c>
    </row>
    <row r="206" spans="1:10" x14ac:dyDescent="0.3">
      <c r="A206">
        <v>209</v>
      </c>
      <c r="B206">
        <v>47</v>
      </c>
      <c r="C206">
        <v>3</v>
      </c>
      <c r="D206">
        <v>110</v>
      </c>
      <c r="E206">
        <v>330</v>
      </c>
      <c r="F206">
        <v>298</v>
      </c>
      <c r="G206" s="1">
        <v>45602</v>
      </c>
      <c r="H206" t="s">
        <v>11</v>
      </c>
      <c r="I206">
        <v>2024</v>
      </c>
      <c r="J206">
        <v>11</v>
      </c>
    </row>
    <row r="207" spans="1:10" x14ac:dyDescent="0.3">
      <c r="A207">
        <v>343</v>
      </c>
      <c r="B207">
        <v>13</v>
      </c>
      <c r="C207">
        <v>3</v>
      </c>
      <c r="D207">
        <v>48</v>
      </c>
      <c r="E207">
        <v>144</v>
      </c>
      <c r="F207">
        <v>262</v>
      </c>
      <c r="G207" s="1">
        <v>45506</v>
      </c>
      <c r="H207" t="s">
        <v>11</v>
      </c>
      <c r="I207">
        <v>2024</v>
      </c>
      <c r="J207">
        <v>8</v>
      </c>
    </row>
    <row r="208" spans="1:10" x14ac:dyDescent="0.3">
      <c r="A208">
        <v>343</v>
      </c>
      <c r="B208">
        <v>31</v>
      </c>
      <c r="C208">
        <v>4</v>
      </c>
      <c r="D208">
        <v>84</v>
      </c>
      <c r="E208">
        <v>336</v>
      </c>
      <c r="F208">
        <v>262</v>
      </c>
      <c r="G208" s="1">
        <v>45506</v>
      </c>
      <c r="H208" t="s">
        <v>11</v>
      </c>
      <c r="I208">
        <v>2024</v>
      </c>
      <c r="J208">
        <v>8</v>
      </c>
    </row>
    <row r="209" spans="1:10" x14ac:dyDescent="0.3">
      <c r="A209">
        <v>343</v>
      </c>
      <c r="B209">
        <v>17</v>
      </c>
      <c r="C209">
        <v>1</v>
      </c>
      <c r="D209">
        <v>87</v>
      </c>
      <c r="E209">
        <v>87</v>
      </c>
      <c r="F209">
        <v>262</v>
      </c>
      <c r="G209" s="1">
        <v>45506</v>
      </c>
      <c r="H209" t="s">
        <v>11</v>
      </c>
      <c r="I209">
        <v>2024</v>
      </c>
      <c r="J209">
        <v>8</v>
      </c>
    </row>
    <row r="210" spans="1:10" x14ac:dyDescent="0.3">
      <c r="A210">
        <v>343</v>
      </c>
      <c r="B210">
        <v>2</v>
      </c>
      <c r="C210">
        <v>2</v>
      </c>
      <c r="D210">
        <v>100</v>
      </c>
      <c r="E210">
        <v>200</v>
      </c>
      <c r="F210">
        <v>262</v>
      </c>
      <c r="G210" s="1">
        <v>45506</v>
      </c>
      <c r="H210" t="s">
        <v>11</v>
      </c>
      <c r="I210">
        <v>2024</v>
      </c>
      <c r="J210">
        <v>8</v>
      </c>
    </row>
    <row r="211" spans="1:10" x14ac:dyDescent="0.3">
      <c r="A211">
        <v>88</v>
      </c>
      <c r="B211">
        <v>39</v>
      </c>
      <c r="C211">
        <v>1</v>
      </c>
      <c r="D211">
        <v>97</v>
      </c>
      <c r="E211">
        <v>97</v>
      </c>
      <c r="F211">
        <v>135</v>
      </c>
      <c r="G211" s="1">
        <v>45411</v>
      </c>
      <c r="H211" t="s">
        <v>11</v>
      </c>
      <c r="I211">
        <v>2024</v>
      </c>
      <c r="J211">
        <v>4</v>
      </c>
    </row>
    <row r="212" spans="1:10" x14ac:dyDescent="0.3">
      <c r="A212">
        <v>88</v>
      </c>
      <c r="B212">
        <v>38</v>
      </c>
      <c r="C212">
        <v>3</v>
      </c>
      <c r="D212">
        <v>84</v>
      </c>
      <c r="E212">
        <v>252</v>
      </c>
      <c r="F212">
        <v>135</v>
      </c>
      <c r="G212" s="1">
        <v>45411</v>
      </c>
      <c r="H212" t="s">
        <v>11</v>
      </c>
      <c r="I212">
        <v>2024</v>
      </c>
      <c r="J212">
        <v>4</v>
      </c>
    </row>
    <row r="213" spans="1:10" x14ac:dyDescent="0.3">
      <c r="A213">
        <v>88</v>
      </c>
      <c r="B213">
        <v>29</v>
      </c>
      <c r="C213">
        <v>5</v>
      </c>
      <c r="D213">
        <v>112</v>
      </c>
      <c r="E213">
        <v>560</v>
      </c>
      <c r="F213">
        <v>135</v>
      </c>
      <c r="G213" s="1">
        <v>45411</v>
      </c>
      <c r="H213" t="s">
        <v>11</v>
      </c>
      <c r="I213">
        <v>2024</v>
      </c>
      <c r="J213">
        <v>4</v>
      </c>
    </row>
    <row r="214" spans="1:10" x14ac:dyDescent="0.3">
      <c r="A214">
        <v>88</v>
      </c>
      <c r="B214">
        <v>42</v>
      </c>
      <c r="C214">
        <v>3</v>
      </c>
      <c r="D214">
        <v>29</v>
      </c>
      <c r="E214">
        <v>87</v>
      </c>
      <c r="F214">
        <v>135</v>
      </c>
      <c r="G214" s="1">
        <v>45411</v>
      </c>
      <c r="H214" t="s">
        <v>11</v>
      </c>
      <c r="I214">
        <v>2024</v>
      </c>
      <c r="J214">
        <v>4</v>
      </c>
    </row>
    <row r="215" spans="1:10" x14ac:dyDescent="0.3">
      <c r="A215">
        <v>818</v>
      </c>
      <c r="B215">
        <v>37</v>
      </c>
      <c r="C215">
        <v>2</v>
      </c>
      <c r="D215">
        <v>89</v>
      </c>
      <c r="E215">
        <v>178</v>
      </c>
      <c r="F215">
        <v>140</v>
      </c>
      <c r="G215" s="1">
        <v>45592</v>
      </c>
      <c r="H215" t="s">
        <v>11</v>
      </c>
      <c r="I215">
        <v>2024</v>
      </c>
      <c r="J215">
        <v>10</v>
      </c>
    </row>
    <row r="216" spans="1:10" x14ac:dyDescent="0.3">
      <c r="A216">
        <v>937</v>
      </c>
      <c r="B216">
        <v>28</v>
      </c>
      <c r="C216">
        <v>4</v>
      </c>
      <c r="D216">
        <v>21</v>
      </c>
      <c r="E216">
        <v>84</v>
      </c>
      <c r="F216">
        <v>171</v>
      </c>
      <c r="G216" s="1">
        <v>45566</v>
      </c>
      <c r="H216" t="s">
        <v>11</v>
      </c>
      <c r="I216">
        <v>2024</v>
      </c>
      <c r="J216">
        <v>10</v>
      </c>
    </row>
    <row r="217" spans="1:10" x14ac:dyDescent="0.3">
      <c r="A217">
        <v>937</v>
      </c>
      <c r="B217">
        <v>13</v>
      </c>
      <c r="C217">
        <v>3</v>
      </c>
      <c r="D217">
        <v>74</v>
      </c>
      <c r="E217">
        <v>222</v>
      </c>
      <c r="F217">
        <v>171</v>
      </c>
      <c r="G217" s="1">
        <v>45566</v>
      </c>
      <c r="H217" t="s">
        <v>11</v>
      </c>
      <c r="I217">
        <v>2024</v>
      </c>
      <c r="J217">
        <v>10</v>
      </c>
    </row>
    <row r="218" spans="1:10" x14ac:dyDescent="0.3">
      <c r="A218">
        <v>937</v>
      </c>
      <c r="B218">
        <v>20</v>
      </c>
      <c r="C218">
        <v>5</v>
      </c>
      <c r="D218">
        <v>65</v>
      </c>
      <c r="E218">
        <v>325</v>
      </c>
      <c r="F218">
        <v>171</v>
      </c>
      <c r="G218" s="1">
        <v>45566</v>
      </c>
      <c r="H218" t="s">
        <v>11</v>
      </c>
      <c r="I218">
        <v>2024</v>
      </c>
      <c r="J218">
        <v>10</v>
      </c>
    </row>
    <row r="219" spans="1:10" x14ac:dyDescent="0.3">
      <c r="A219">
        <v>325</v>
      </c>
      <c r="B219">
        <v>16</v>
      </c>
      <c r="C219">
        <v>5</v>
      </c>
      <c r="D219">
        <v>80</v>
      </c>
      <c r="E219">
        <v>400</v>
      </c>
      <c r="F219">
        <v>186</v>
      </c>
      <c r="G219" s="1">
        <v>45363</v>
      </c>
      <c r="H219" t="s">
        <v>11</v>
      </c>
      <c r="I219">
        <v>2024</v>
      </c>
      <c r="J219">
        <v>3</v>
      </c>
    </row>
    <row r="220" spans="1:10" x14ac:dyDescent="0.3">
      <c r="A220">
        <v>325</v>
      </c>
      <c r="B220">
        <v>12</v>
      </c>
      <c r="C220">
        <v>3</v>
      </c>
      <c r="D220">
        <v>23</v>
      </c>
      <c r="E220">
        <v>69</v>
      </c>
      <c r="F220">
        <v>186</v>
      </c>
      <c r="G220" s="1">
        <v>45363</v>
      </c>
      <c r="H220" t="s">
        <v>11</v>
      </c>
      <c r="I220">
        <v>2024</v>
      </c>
      <c r="J220">
        <v>3</v>
      </c>
    </row>
    <row r="221" spans="1:10" x14ac:dyDescent="0.3">
      <c r="A221">
        <v>325</v>
      </c>
      <c r="B221">
        <v>38</v>
      </c>
      <c r="C221">
        <v>5</v>
      </c>
      <c r="D221">
        <v>12</v>
      </c>
      <c r="E221">
        <v>60</v>
      </c>
      <c r="F221">
        <v>186</v>
      </c>
      <c r="G221" s="1">
        <v>45363</v>
      </c>
      <c r="H221" t="s">
        <v>11</v>
      </c>
      <c r="I221">
        <v>2024</v>
      </c>
      <c r="J221">
        <v>3</v>
      </c>
    </row>
    <row r="222" spans="1:10" x14ac:dyDescent="0.3">
      <c r="A222">
        <v>940</v>
      </c>
      <c r="B222">
        <v>2</v>
      </c>
      <c r="C222">
        <v>4</v>
      </c>
      <c r="D222">
        <v>84</v>
      </c>
      <c r="E222">
        <v>336</v>
      </c>
      <c r="F222">
        <v>127</v>
      </c>
      <c r="G222" s="1">
        <v>45343</v>
      </c>
      <c r="H222" t="s">
        <v>11</v>
      </c>
      <c r="I222">
        <v>2024</v>
      </c>
      <c r="J222">
        <v>2</v>
      </c>
    </row>
    <row r="223" spans="1:10" x14ac:dyDescent="0.3">
      <c r="A223">
        <v>940</v>
      </c>
      <c r="B223">
        <v>33</v>
      </c>
      <c r="C223">
        <v>5</v>
      </c>
      <c r="D223">
        <v>93</v>
      </c>
      <c r="E223">
        <v>465</v>
      </c>
      <c r="F223">
        <v>127</v>
      </c>
      <c r="G223" s="1">
        <v>45343</v>
      </c>
      <c r="H223" t="s">
        <v>11</v>
      </c>
      <c r="I223">
        <v>2024</v>
      </c>
      <c r="J223">
        <v>2</v>
      </c>
    </row>
    <row r="224" spans="1:10" x14ac:dyDescent="0.3">
      <c r="A224">
        <v>940</v>
      </c>
      <c r="B224">
        <v>9</v>
      </c>
      <c r="C224">
        <v>4</v>
      </c>
      <c r="D224">
        <v>19</v>
      </c>
      <c r="E224">
        <v>76</v>
      </c>
      <c r="F224">
        <v>127</v>
      </c>
      <c r="G224" s="1">
        <v>45343</v>
      </c>
      <c r="H224" t="s">
        <v>11</v>
      </c>
      <c r="I224">
        <v>2024</v>
      </c>
      <c r="J224">
        <v>2</v>
      </c>
    </row>
    <row r="225" spans="1:10" x14ac:dyDescent="0.3">
      <c r="A225">
        <v>940</v>
      </c>
      <c r="B225">
        <v>30</v>
      </c>
      <c r="C225">
        <v>5</v>
      </c>
      <c r="D225">
        <v>58</v>
      </c>
      <c r="E225">
        <v>290</v>
      </c>
      <c r="F225">
        <v>127</v>
      </c>
      <c r="G225" s="1">
        <v>45343</v>
      </c>
      <c r="H225" t="s">
        <v>11</v>
      </c>
      <c r="I225">
        <v>2024</v>
      </c>
      <c r="J225">
        <v>2</v>
      </c>
    </row>
    <row r="226" spans="1:10" x14ac:dyDescent="0.3">
      <c r="A226">
        <v>940</v>
      </c>
      <c r="B226">
        <v>36</v>
      </c>
      <c r="C226">
        <v>1</v>
      </c>
      <c r="D226">
        <v>73</v>
      </c>
      <c r="E226">
        <v>73</v>
      </c>
      <c r="F226">
        <v>127</v>
      </c>
      <c r="G226" s="1">
        <v>45343</v>
      </c>
      <c r="H226" t="s">
        <v>11</v>
      </c>
      <c r="I226">
        <v>2024</v>
      </c>
      <c r="J226">
        <v>2</v>
      </c>
    </row>
    <row r="227" spans="1:10" x14ac:dyDescent="0.3">
      <c r="A227">
        <v>889</v>
      </c>
      <c r="B227">
        <v>18</v>
      </c>
      <c r="C227">
        <v>5</v>
      </c>
      <c r="D227">
        <v>40</v>
      </c>
      <c r="E227">
        <v>200</v>
      </c>
      <c r="F227">
        <v>157</v>
      </c>
      <c r="G227" s="1">
        <v>45490</v>
      </c>
      <c r="H227" t="s">
        <v>11</v>
      </c>
      <c r="I227">
        <v>2024</v>
      </c>
      <c r="J227">
        <v>7</v>
      </c>
    </row>
    <row r="228" spans="1:10" x14ac:dyDescent="0.3">
      <c r="A228">
        <v>889</v>
      </c>
      <c r="B228">
        <v>9</v>
      </c>
      <c r="C228">
        <v>4</v>
      </c>
      <c r="D228">
        <v>72</v>
      </c>
      <c r="E228">
        <v>288</v>
      </c>
      <c r="F228">
        <v>157</v>
      </c>
      <c r="G228" s="1">
        <v>45490</v>
      </c>
      <c r="H228" t="s">
        <v>11</v>
      </c>
      <c r="I228">
        <v>2024</v>
      </c>
      <c r="J228">
        <v>7</v>
      </c>
    </row>
    <row r="229" spans="1:10" x14ac:dyDescent="0.3">
      <c r="A229">
        <v>889</v>
      </c>
      <c r="B229">
        <v>6</v>
      </c>
      <c r="C229">
        <v>4</v>
      </c>
      <c r="D229">
        <v>82</v>
      </c>
      <c r="E229">
        <v>328</v>
      </c>
      <c r="F229">
        <v>157</v>
      </c>
      <c r="G229" s="1">
        <v>45490</v>
      </c>
      <c r="H229" t="s">
        <v>11</v>
      </c>
      <c r="I229">
        <v>2024</v>
      </c>
      <c r="J229">
        <v>7</v>
      </c>
    </row>
    <row r="230" spans="1:10" x14ac:dyDescent="0.3">
      <c r="A230">
        <v>832</v>
      </c>
      <c r="B230">
        <v>17</v>
      </c>
      <c r="C230">
        <v>1</v>
      </c>
      <c r="D230">
        <v>102</v>
      </c>
      <c r="E230">
        <v>102</v>
      </c>
      <c r="F230">
        <v>172</v>
      </c>
      <c r="G230" s="1">
        <v>45581</v>
      </c>
      <c r="H230" t="s">
        <v>11</v>
      </c>
      <c r="I230">
        <v>2024</v>
      </c>
      <c r="J230">
        <v>10</v>
      </c>
    </row>
    <row r="231" spans="1:10" x14ac:dyDescent="0.3">
      <c r="A231">
        <v>832</v>
      </c>
      <c r="B231">
        <v>2</v>
      </c>
      <c r="C231">
        <v>2</v>
      </c>
      <c r="D231">
        <v>114</v>
      </c>
      <c r="E231">
        <v>228</v>
      </c>
      <c r="F231">
        <v>172</v>
      </c>
      <c r="G231" s="1">
        <v>45581</v>
      </c>
      <c r="H231" t="s">
        <v>11</v>
      </c>
      <c r="I231">
        <v>2024</v>
      </c>
      <c r="J231">
        <v>10</v>
      </c>
    </row>
    <row r="232" spans="1:10" x14ac:dyDescent="0.3">
      <c r="A232">
        <v>832</v>
      </c>
      <c r="B232">
        <v>20</v>
      </c>
      <c r="C232">
        <v>1</v>
      </c>
      <c r="D232">
        <v>86</v>
      </c>
      <c r="E232">
        <v>86</v>
      </c>
      <c r="F232">
        <v>172</v>
      </c>
      <c r="G232" s="1">
        <v>45581</v>
      </c>
      <c r="H232" t="s">
        <v>11</v>
      </c>
      <c r="I232">
        <v>2024</v>
      </c>
      <c r="J232">
        <v>10</v>
      </c>
    </row>
    <row r="233" spans="1:10" x14ac:dyDescent="0.3">
      <c r="A233">
        <v>832</v>
      </c>
      <c r="B233">
        <v>19</v>
      </c>
      <c r="C233">
        <v>5</v>
      </c>
      <c r="D233">
        <v>89</v>
      </c>
      <c r="E233">
        <v>445</v>
      </c>
      <c r="F233">
        <v>172</v>
      </c>
      <c r="G233" s="1">
        <v>45581</v>
      </c>
      <c r="H233" t="s">
        <v>11</v>
      </c>
      <c r="I233">
        <v>2024</v>
      </c>
      <c r="J233">
        <v>10</v>
      </c>
    </row>
    <row r="234" spans="1:10" x14ac:dyDescent="0.3">
      <c r="A234">
        <v>832</v>
      </c>
      <c r="B234">
        <v>25</v>
      </c>
      <c r="C234">
        <v>4</v>
      </c>
      <c r="D234">
        <v>97</v>
      </c>
      <c r="E234">
        <v>388</v>
      </c>
      <c r="F234">
        <v>172</v>
      </c>
      <c r="G234" s="1">
        <v>45581</v>
      </c>
      <c r="H234" t="s">
        <v>11</v>
      </c>
      <c r="I234">
        <v>2024</v>
      </c>
      <c r="J234">
        <v>10</v>
      </c>
    </row>
    <row r="235" spans="1:10" x14ac:dyDescent="0.3">
      <c r="A235">
        <v>157</v>
      </c>
      <c r="B235">
        <v>30</v>
      </c>
      <c r="C235">
        <v>1</v>
      </c>
      <c r="D235">
        <v>71</v>
      </c>
      <c r="E235">
        <v>71</v>
      </c>
      <c r="F235">
        <v>96</v>
      </c>
      <c r="G235" s="1">
        <v>45302</v>
      </c>
      <c r="H235" t="s">
        <v>11</v>
      </c>
      <c r="I235">
        <v>2024</v>
      </c>
      <c r="J235">
        <v>1</v>
      </c>
    </row>
    <row r="236" spans="1:10" x14ac:dyDescent="0.3">
      <c r="A236">
        <v>157</v>
      </c>
      <c r="B236">
        <v>44</v>
      </c>
      <c r="C236">
        <v>5</v>
      </c>
      <c r="D236">
        <v>79</v>
      </c>
      <c r="E236">
        <v>395</v>
      </c>
      <c r="F236">
        <v>96</v>
      </c>
      <c r="G236" s="1">
        <v>45302</v>
      </c>
      <c r="H236" t="s">
        <v>11</v>
      </c>
      <c r="I236">
        <v>2024</v>
      </c>
      <c r="J236">
        <v>1</v>
      </c>
    </row>
    <row r="237" spans="1:10" x14ac:dyDescent="0.3">
      <c r="A237">
        <v>633</v>
      </c>
      <c r="B237">
        <v>32</v>
      </c>
      <c r="C237">
        <v>2</v>
      </c>
      <c r="D237">
        <v>11</v>
      </c>
      <c r="E237">
        <v>22</v>
      </c>
      <c r="F237">
        <v>72</v>
      </c>
      <c r="G237" s="1">
        <v>45375</v>
      </c>
      <c r="H237" t="s">
        <v>11</v>
      </c>
      <c r="I237">
        <v>2024</v>
      </c>
      <c r="J237">
        <v>3</v>
      </c>
    </row>
    <row r="238" spans="1:10" x14ac:dyDescent="0.3">
      <c r="A238">
        <v>577</v>
      </c>
      <c r="B238">
        <v>50</v>
      </c>
      <c r="C238">
        <v>5</v>
      </c>
      <c r="D238">
        <v>112</v>
      </c>
      <c r="E238">
        <v>560</v>
      </c>
      <c r="F238">
        <v>220</v>
      </c>
      <c r="G238" s="1">
        <v>45457</v>
      </c>
      <c r="H238" t="s">
        <v>11</v>
      </c>
      <c r="I238">
        <v>2024</v>
      </c>
      <c r="J238">
        <v>6</v>
      </c>
    </row>
    <row r="239" spans="1:10" x14ac:dyDescent="0.3">
      <c r="A239">
        <v>619</v>
      </c>
      <c r="B239">
        <v>29</v>
      </c>
      <c r="C239">
        <v>4</v>
      </c>
      <c r="D239">
        <v>24</v>
      </c>
      <c r="E239">
        <v>96</v>
      </c>
      <c r="F239">
        <v>165</v>
      </c>
      <c r="G239" s="1">
        <v>45608</v>
      </c>
      <c r="H239" t="s">
        <v>11</v>
      </c>
      <c r="I239">
        <v>2024</v>
      </c>
      <c r="J239">
        <v>11</v>
      </c>
    </row>
    <row r="240" spans="1:10" x14ac:dyDescent="0.3">
      <c r="A240">
        <v>619</v>
      </c>
      <c r="B240">
        <v>29</v>
      </c>
      <c r="C240">
        <v>3</v>
      </c>
      <c r="D240">
        <v>81</v>
      </c>
      <c r="E240">
        <v>243</v>
      </c>
      <c r="F240">
        <v>165</v>
      </c>
      <c r="G240" s="1">
        <v>45608</v>
      </c>
      <c r="H240" t="s">
        <v>11</v>
      </c>
      <c r="I240">
        <v>2024</v>
      </c>
      <c r="J240">
        <v>11</v>
      </c>
    </row>
    <row r="241" spans="1:10" x14ac:dyDescent="0.3">
      <c r="A241">
        <v>619</v>
      </c>
      <c r="B241">
        <v>44</v>
      </c>
      <c r="C241">
        <v>2</v>
      </c>
      <c r="D241">
        <v>67</v>
      </c>
      <c r="E241">
        <v>134</v>
      </c>
      <c r="F241">
        <v>165</v>
      </c>
      <c r="G241" s="1">
        <v>45608</v>
      </c>
      <c r="H241" t="s">
        <v>11</v>
      </c>
      <c r="I241">
        <v>2024</v>
      </c>
      <c r="J241">
        <v>11</v>
      </c>
    </row>
    <row r="242" spans="1:10" x14ac:dyDescent="0.3">
      <c r="A242">
        <v>619</v>
      </c>
      <c r="B242">
        <v>2</v>
      </c>
      <c r="C242">
        <v>2</v>
      </c>
      <c r="D242">
        <v>49</v>
      </c>
      <c r="E242">
        <v>98</v>
      </c>
      <c r="F242">
        <v>165</v>
      </c>
      <c r="G242" s="1">
        <v>45608</v>
      </c>
      <c r="H242" t="s">
        <v>11</v>
      </c>
      <c r="I242">
        <v>2024</v>
      </c>
      <c r="J242">
        <v>11</v>
      </c>
    </row>
    <row r="243" spans="1:10" x14ac:dyDescent="0.3">
      <c r="A243">
        <v>619</v>
      </c>
      <c r="B243">
        <v>25</v>
      </c>
      <c r="C243">
        <v>5</v>
      </c>
      <c r="D243">
        <v>69</v>
      </c>
      <c r="E243">
        <v>345</v>
      </c>
      <c r="F243">
        <v>165</v>
      </c>
      <c r="G243" s="1">
        <v>45608</v>
      </c>
      <c r="H243" t="s">
        <v>11</v>
      </c>
      <c r="I243">
        <v>2024</v>
      </c>
      <c r="J243">
        <v>11</v>
      </c>
    </row>
    <row r="244" spans="1:10" x14ac:dyDescent="0.3">
      <c r="A244">
        <v>659</v>
      </c>
      <c r="B244">
        <v>46</v>
      </c>
      <c r="C244">
        <v>4</v>
      </c>
      <c r="D244">
        <v>66</v>
      </c>
      <c r="E244">
        <v>264</v>
      </c>
      <c r="F244">
        <v>166</v>
      </c>
      <c r="G244" s="1">
        <v>45464</v>
      </c>
      <c r="H244" t="s">
        <v>11</v>
      </c>
      <c r="I244">
        <v>2024</v>
      </c>
      <c r="J244">
        <v>6</v>
      </c>
    </row>
    <row r="245" spans="1:10" x14ac:dyDescent="0.3">
      <c r="A245">
        <v>659</v>
      </c>
      <c r="B245">
        <v>3</v>
      </c>
      <c r="C245">
        <v>4</v>
      </c>
      <c r="D245">
        <v>37</v>
      </c>
      <c r="E245">
        <v>148</v>
      </c>
      <c r="F245">
        <v>166</v>
      </c>
      <c r="G245" s="1">
        <v>45464</v>
      </c>
      <c r="H245" t="s">
        <v>11</v>
      </c>
      <c r="I245">
        <v>2024</v>
      </c>
      <c r="J245">
        <v>6</v>
      </c>
    </row>
    <row r="246" spans="1:10" x14ac:dyDescent="0.3">
      <c r="A246">
        <v>659</v>
      </c>
      <c r="B246">
        <v>50</v>
      </c>
      <c r="C246">
        <v>4</v>
      </c>
      <c r="D246">
        <v>86</v>
      </c>
      <c r="E246">
        <v>344</v>
      </c>
      <c r="F246">
        <v>166</v>
      </c>
      <c r="G246" s="1">
        <v>45464</v>
      </c>
      <c r="H246" t="s">
        <v>11</v>
      </c>
      <c r="I246">
        <v>2024</v>
      </c>
      <c r="J246">
        <v>6</v>
      </c>
    </row>
    <row r="247" spans="1:10" x14ac:dyDescent="0.3">
      <c r="A247">
        <v>137</v>
      </c>
      <c r="B247">
        <v>30</v>
      </c>
      <c r="C247">
        <v>1</v>
      </c>
      <c r="D247">
        <v>84</v>
      </c>
      <c r="E247">
        <v>84</v>
      </c>
      <c r="F247">
        <v>108</v>
      </c>
      <c r="G247" s="1">
        <v>45559</v>
      </c>
      <c r="H247" t="s">
        <v>11</v>
      </c>
      <c r="I247">
        <v>2024</v>
      </c>
      <c r="J247">
        <v>9</v>
      </c>
    </row>
    <row r="248" spans="1:10" x14ac:dyDescent="0.3">
      <c r="A248">
        <v>137</v>
      </c>
      <c r="B248">
        <v>42</v>
      </c>
      <c r="C248">
        <v>4</v>
      </c>
      <c r="D248">
        <v>19</v>
      </c>
      <c r="E248">
        <v>76</v>
      </c>
      <c r="F248">
        <v>108</v>
      </c>
      <c r="G248" s="1">
        <v>45559</v>
      </c>
      <c r="H248" t="s">
        <v>11</v>
      </c>
      <c r="I248">
        <v>2024</v>
      </c>
      <c r="J248">
        <v>9</v>
      </c>
    </row>
    <row r="249" spans="1:10" x14ac:dyDescent="0.3">
      <c r="A249">
        <v>137</v>
      </c>
      <c r="B249">
        <v>26</v>
      </c>
      <c r="C249">
        <v>1</v>
      </c>
      <c r="D249">
        <v>10</v>
      </c>
      <c r="E249">
        <v>10</v>
      </c>
      <c r="F249">
        <v>108</v>
      </c>
      <c r="G249" s="1">
        <v>45559</v>
      </c>
      <c r="H249" t="s">
        <v>11</v>
      </c>
      <c r="I249">
        <v>2024</v>
      </c>
      <c r="J249">
        <v>9</v>
      </c>
    </row>
    <row r="250" spans="1:10" x14ac:dyDescent="0.3">
      <c r="A250">
        <v>137</v>
      </c>
      <c r="B250">
        <v>7</v>
      </c>
      <c r="C250">
        <v>5</v>
      </c>
      <c r="D250">
        <v>22</v>
      </c>
      <c r="E250">
        <v>110</v>
      </c>
      <c r="F250">
        <v>108</v>
      </c>
      <c r="G250" s="1">
        <v>45559</v>
      </c>
      <c r="H250" t="s">
        <v>11</v>
      </c>
      <c r="I250">
        <v>2024</v>
      </c>
      <c r="J250">
        <v>9</v>
      </c>
    </row>
    <row r="251" spans="1:10" x14ac:dyDescent="0.3">
      <c r="A251">
        <v>137</v>
      </c>
      <c r="B251">
        <v>12</v>
      </c>
      <c r="C251">
        <v>3</v>
      </c>
      <c r="D251">
        <v>50</v>
      </c>
      <c r="E251">
        <v>150</v>
      </c>
      <c r="F251">
        <v>108</v>
      </c>
      <c r="G251" s="1">
        <v>45559</v>
      </c>
      <c r="H251" t="s">
        <v>11</v>
      </c>
      <c r="I251">
        <v>2024</v>
      </c>
      <c r="J251">
        <v>9</v>
      </c>
    </row>
    <row r="252" spans="1:10" x14ac:dyDescent="0.3">
      <c r="A252">
        <v>923</v>
      </c>
      <c r="B252">
        <v>18</v>
      </c>
      <c r="C252">
        <v>3</v>
      </c>
      <c r="D252">
        <v>43</v>
      </c>
      <c r="E252">
        <v>129</v>
      </c>
      <c r="F252">
        <v>69</v>
      </c>
      <c r="G252" s="1">
        <v>45312</v>
      </c>
      <c r="H252" t="s">
        <v>11</v>
      </c>
      <c r="I252">
        <v>2024</v>
      </c>
      <c r="J252">
        <v>1</v>
      </c>
    </row>
    <row r="253" spans="1:10" x14ac:dyDescent="0.3">
      <c r="A253">
        <v>923</v>
      </c>
      <c r="B253">
        <v>14</v>
      </c>
      <c r="C253">
        <v>5</v>
      </c>
      <c r="D253">
        <v>46</v>
      </c>
      <c r="E253">
        <v>230</v>
      </c>
      <c r="F253">
        <v>69</v>
      </c>
      <c r="G253" s="1">
        <v>45312</v>
      </c>
      <c r="H253" t="s">
        <v>11</v>
      </c>
      <c r="I253">
        <v>2024</v>
      </c>
      <c r="J253">
        <v>1</v>
      </c>
    </row>
    <row r="254" spans="1:10" x14ac:dyDescent="0.3">
      <c r="A254">
        <v>923</v>
      </c>
      <c r="B254">
        <v>10</v>
      </c>
      <c r="C254">
        <v>1</v>
      </c>
      <c r="D254">
        <v>92</v>
      </c>
      <c r="E254">
        <v>92</v>
      </c>
      <c r="F254">
        <v>69</v>
      </c>
      <c r="G254" s="1">
        <v>45312</v>
      </c>
      <c r="H254" t="s">
        <v>11</v>
      </c>
      <c r="I254">
        <v>2024</v>
      </c>
      <c r="J254">
        <v>1</v>
      </c>
    </row>
    <row r="255" spans="1:10" x14ac:dyDescent="0.3">
      <c r="A255">
        <v>923</v>
      </c>
      <c r="B255">
        <v>25</v>
      </c>
      <c r="C255">
        <v>3</v>
      </c>
      <c r="D255">
        <v>26</v>
      </c>
      <c r="E255">
        <v>78</v>
      </c>
      <c r="F255">
        <v>69</v>
      </c>
      <c r="G255" s="1">
        <v>45312</v>
      </c>
      <c r="H255" t="s">
        <v>11</v>
      </c>
      <c r="I255">
        <v>2024</v>
      </c>
      <c r="J255">
        <v>1</v>
      </c>
    </row>
    <row r="256" spans="1:10" x14ac:dyDescent="0.3">
      <c r="A256">
        <v>674</v>
      </c>
      <c r="B256">
        <v>13</v>
      </c>
      <c r="C256">
        <v>2</v>
      </c>
      <c r="D256">
        <v>112</v>
      </c>
      <c r="E256">
        <v>224</v>
      </c>
      <c r="F256">
        <v>205</v>
      </c>
      <c r="G256" s="1">
        <v>45350</v>
      </c>
      <c r="H256" t="s">
        <v>11</v>
      </c>
      <c r="I256">
        <v>2024</v>
      </c>
      <c r="J256">
        <v>2</v>
      </c>
    </row>
    <row r="257" spans="1:10" x14ac:dyDescent="0.3">
      <c r="A257">
        <v>674</v>
      </c>
      <c r="B257">
        <v>25</v>
      </c>
      <c r="C257">
        <v>5</v>
      </c>
      <c r="D257">
        <v>81</v>
      </c>
      <c r="E257">
        <v>405</v>
      </c>
      <c r="F257">
        <v>205</v>
      </c>
      <c r="G257" s="1">
        <v>45350</v>
      </c>
      <c r="H257" t="s">
        <v>11</v>
      </c>
      <c r="I257">
        <v>2024</v>
      </c>
      <c r="J257">
        <v>2</v>
      </c>
    </row>
    <row r="258" spans="1:10" x14ac:dyDescent="0.3">
      <c r="A258">
        <v>674</v>
      </c>
      <c r="B258">
        <v>46</v>
      </c>
      <c r="C258">
        <v>3</v>
      </c>
      <c r="D258">
        <v>94</v>
      </c>
      <c r="E258">
        <v>282</v>
      </c>
      <c r="F258">
        <v>205</v>
      </c>
      <c r="G258" s="1">
        <v>45350</v>
      </c>
      <c r="H258" t="s">
        <v>11</v>
      </c>
      <c r="I258">
        <v>2024</v>
      </c>
      <c r="J258">
        <v>2</v>
      </c>
    </row>
    <row r="259" spans="1:10" x14ac:dyDescent="0.3">
      <c r="A259">
        <v>674</v>
      </c>
      <c r="B259">
        <v>8</v>
      </c>
      <c r="C259">
        <v>2</v>
      </c>
      <c r="D259">
        <v>87</v>
      </c>
      <c r="E259">
        <v>174</v>
      </c>
      <c r="F259">
        <v>205</v>
      </c>
      <c r="G259" s="1">
        <v>45350</v>
      </c>
      <c r="H259" t="s">
        <v>11</v>
      </c>
      <c r="I259">
        <v>2024</v>
      </c>
      <c r="J259">
        <v>2</v>
      </c>
    </row>
    <row r="260" spans="1:10" x14ac:dyDescent="0.3">
      <c r="A260">
        <v>428</v>
      </c>
      <c r="B260">
        <v>43</v>
      </c>
      <c r="C260">
        <v>2</v>
      </c>
      <c r="D260">
        <v>77</v>
      </c>
      <c r="E260">
        <v>154</v>
      </c>
      <c r="F260">
        <v>253</v>
      </c>
      <c r="G260" s="1">
        <v>45298</v>
      </c>
      <c r="H260" t="s">
        <v>11</v>
      </c>
      <c r="I260">
        <v>2024</v>
      </c>
      <c r="J260">
        <v>1</v>
      </c>
    </row>
    <row r="261" spans="1:10" x14ac:dyDescent="0.3">
      <c r="A261">
        <v>428</v>
      </c>
      <c r="B261">
        <v>1</v>
      </c>
      <c r="C261">
        <v>5</v>
      </c>
      <c r="D261">
        <v>11</v>
      </c>
      <c r="E261">
        <v>55</v>
      </c>
      <c r="F261">
        <v>253</v>
      </c>
      <c r="G261" s="1">
        <v>45298</v>
      </c>
      <c r="H261" t="s">
        <v>11</v>
      </c>
      <c r="I261">
        <v>2024</v>
      </c>
      <c r="J261">
        <v>1</v>
      </c>
    </row>
    <row r="262" spans="1:10" x14ac:dyDescent="0.3">
      <c r="A262">
        <v>428</v>
      </c>
      <c r="B262">
        <v>39</v>
      </c>
      <c r="C262">
        <v>5</v>
      </c>
      <c r="D262">
        <v>24</v>
      </c>
      <c r="E262">
        <v>120</v>
      </c>
      <c r="F262">
        <v>253</v>
      </c>
      <c r="G262" s="1">
        <v>45298</v>
      </c>
      <c r="H262" t="s">
        <v>11</v>
      </c>
      <c r="I262">
        <v>2024</v>
      </c>
      <c r="J262">
        <v>1</v>
      </c>
    </row>
    <row r="263" spans="1:10" x14ac:dyDescent="0.3">
      <c r="A263">
        <v>428</v>
      </c>
      <c r="B263">
        <v>16</v>
      </c>
      <c r="C263">
        <v>2</v>
      </c>
      <c r="D263">
        <v>104</v>
      </c>
      <c r="E263">
        <v>208</v>
      </c>
      <c r="F263">
        <v>253</v>
      </c>
      <c r="G263" s="1">
        <v>45298</v>
      </c>
      <c r="H263" t="s">
        <v>11</v>
      </c>
      <c r="I263">
        <v>2024</v>
      </c>
      <c r="J263">
        <v>1</v>
      </c>
    </row>
    <row r="264" spans="1:10" x14ac:dyDescent="0.3">
      <c r="A264">
        <v>612</v>
      </c>
      <c r="B264">
        <v>30</v>
      </c>
      <c r="C264">
        <v>2</v>
      </c>
      <c r="D264">
        <v>38</v>
      </c>
      <c r="E264">
        <v>76</v>
      </c>
      <c r="F264">
        <v>99</v>
      </c>
      <c r="G264" s="1">
        <v>45381</v>
      </c>
      <c r="H264" t="s">
        <v>11</v>
      </c>
      <c r="I264">
        <v>2024</v>
      </c>
      <c r="J264">
        <v>3</v>
      </c>
    </row>
    <row r="265" spans="1:10" x14ac:dyDescent="0.3">
      <c r="A265">
        <v>911</v>
      </c>
      <c r="B265">
        <v>48</v>
      </c>
      <c r="C265">
        <v>5</v>
      </c>
      <c r="D265">
        <v>25</v>
      </c>
      <c r="E265">
        <v>125</v>
      </c>
      <c r="F265">
        <v>261</v>
      </c>
      <c r="G265" s="1">
        <v>45303</v>
      </c>
      <c r="H265" t="s">
        <v>11</v>
      </c>
      <c r="I265">
        <v>2024</v>
      </c>
      <c r="J265">
        <v>1</v>
      </c>
    </row>
    <row r="266" spans="1:10" x14ac:dyDescent="0.3">
      <c r="A266">
        <v>911</v>
      </c>
      <c r="B266">
        <v>47</v>
      </c>
      <c r="C266">
        <v>2</v>
      </c>
      <c r="D266">
        <v>107</v>
      </c>
      <c r="E266">
        <v>214</v>
      </c>
      <c r="F266">
        <v>261</v>
      </c>
      <c r="G266" s="1">
        <v>45303</v>
      </c>
      <c r="H266" t="s">
        <v>11</v>
      </c>
      <c r="I266">
        <v>2024</v>
      </c>
      <c r="J266">
        <v>1</v>
      </c>
    </row>
    <row r="267" spans="1:10" x14ac:dyDescent="0.3">
      <c r="A267">
        <v>819</v>
      </c>
      <c r="B267">
        <v>17</v>
      </c>
      <c r="C267">
        <v>4</v>
      </c>
      <c r="D267">
        <v>48</v>
      </c>
      <c r="E267">
        <v>192</v>
      </c>
      <c r="F267">
        <v>47</v>
      </c>
      <c r="G267" s="1">
        <v>45599</v>
      </c>
      <c r="H267" t="s">
        <v>11</v>
      </c>
      <c r="I267">
        <v>2024</v>
      </c>
      <c r="J267">
        <v>11</v>
      </c>
    </row>
    <row r="268" spans="1:10" x14ac:dyDescent="0.3">
      <c r="A268">
        <v>141</v>
      </c>
      <c r="B268">
        <v>40</v>
      </c>
      <c r="C268">
        <v>3</v>
      </c>
      <c r="D268">
        <v>86</v>
      </c>
      <c r="E268">
        <v>258</v>
      </c>
      <c r="F268">
        <v>231</v>
      </c>
      <c r="G268" s="1">
        <v>45481</v>
      </c>
      <c r="H268" t="s">
        <v>11</v>
      </c>
      <c r="I268">
        <v>2024</v>
      </c>
      <c r="J268">
        <v>7</v>
      </c>
    </row>
    <row r="269" spans="1:10" x14ac:dyDescent="0.3">
      <c r="A269">
        <v>141</v>
      </c>
      <c r="B269">
        <v>6</v>
      </c>
      <c r="C269">
        <v>2</v>
      </c>
      <c r="D269">
        <v>116</v>
      </c>
      <c r="E269">
        <v>232</v>
      </c>
      <c r="F269">
        <v>231</v>
      </c>
      <c r="G269" s="1">
        <v>45481</v>
      </c>
      <c r="H269" t="s">
        <v>11</v>
      </c>
      <c r="I269">
        <v>2024</v>
      </c>
      <c r="J269">
        <v>7</v>
      </c>
    </row>
    <row r="270" spans="1:10" x14ac:dyDescent="0.3">
      <c r="A270">
        <v>141</v>
      </c>
      <c r="B270">
        <v>16</v>
      </c>
      <c r="C270">
        <v>5</v>
      </c>
      <c r="D270">
        <v>101</v>
      </c>
      <c r="E270">
        <v>505</v>
      </c>
      <c r="F270">
        <v>231</v>
      </c>
      <c r="G270" s="1">
        <v>45481</v>
      </c>
      <c r="H270" t="s">
        <v>11</v>
      </c>
      <c r="I270">
        <v>2024</v>
      </c>
      <c r="J270">
        <v>7</v>
      </c>
    </row>
    <row r="271" spans="1:10" x14ac:dyDescent="0.3">
      <c r="A271">
        <v>141</v>
      </c>
      <c r="B271">
        <v>32</v>
      </c>
      <c r="C271">
        <v>2</v>
      </c>
      <c r="D271">
        <v>63</v>
      </c>
      <c r="E271">
        <v>126</v>
      </c>
      <c r="F271">
        <v>231</v>
      </c>
      <c r="G271" s="1">
        <v>45481</v>
      </c>
      <c r="H271" t="s">
        <v>11</v>
      </c>
      <c r="I271">
        <v>2024</v>
      </c>
      <c r="J271">
        <v>7</v>
      </c>
    </row>
    <row r="272" spans="1:10" x14ac:dyDescent="0.3">
      <c r="A272">
        <v>141</v>
      </c>
      <c r="B272">
        <v>41</v>
      </c>
      <c r="C272">
        <v>3</v>
      </c>
      <c r="D272">
        <v>99</v>
      </c>
      <c r="E272">
        <v>297</v>
      </c>
      <c r="F272">
        <v>231</v>
      </c>
      <c r="G272" s="1">
        <v>45481</v>
      </c>
      <c r="H272" t="s">
        <v>11</v>
      </c>
      <c r="I272">
        <v>2024</v>
      </c>
      <c r="J272">
        <v>7</v>
      </c>
    </row>
    <row r="273" spans="1:10" x14ac:dyDescent="0.3">
      <c r="A273">
        <v>83</v>
      </c>
      <c r="B273">
        <v>19</v>
      </c>
      <c r="C273">
        <v>4</v>
      </c>
      <c r="D273">
        <v>46</v>
      </c>
      <c r="E273">
        <v>184</v>
      </c>
      <c r="F273">
        <v>289</v>
      </c>
      <c r="G273" s="1">
        <v>45655</v>
      </c>
      <c r="H273" t="s">
        <v>11</v>
      </c>
      <c r="I273">
        <v>2024</v>
      </c>
      <c r="J273">
        <v>12</v>
      </c>
    </row>
    <row r="274" spans="1:10" x14ac:dyDescent="0.3">
      <c r="A274">
        <v>83</v>
      </c>
      <c r="B274">
        <v>29</v>
      </c>
      <c r="C274">
        <v>3</v>
      </c>
      <c r="D274">
        <v>34</v>
      </c>
      <c r="E274">
        <v>102</v>
      </c>
      <c r="F274">
        <v>289</v>
      </c>
      <c r="G274" s="1">
        <v>45655</v>
      </c>
      <c r="H274" t="s">
        <v>11</v>
      </c>
      <c r="I274">
        <v>2024</v>
      </c>
      <c r="J274">
        <v>12</v>
      </c>
    </row>
    <row r="275" spans="1:10" x14ac:dyDescent="0.3">
      <c r="A275">
        <v>177</v>
      </c>
      <c r="B275">
        <v>15</v>
      </c>
      <c r="C275">
        <v>4</v>
      </c>
      <c r="D275">
        <v>90</v>
      </c>
      <c r="E275">
        <v>360</v>
      </c>
      <c r="F275">
        <v>130</v>
      </c>
      <c r="G275" s="1">
        <v>45518</v>
      </c>
      <c r="H275" t="s">
        <v>11</v>
      </c>
      <c r="I275">
        <v>2024</v>
      </c>
      <c r="J275">
        <v>8</v>
      </c>
    </row>
    <row r="276" spans="1:10" x14ac:dyDescent="0.3">
      <c r="A276">
        <v>177</v>
      </c>
      <c r="B276">
        <v>8</v>
      </c>
      <c r="C276">
        <v>2</v>
      </c>
      <c r="D276">
        <v>105</v>
      </c>
      <c r="E276">
        <v>210</v>
      </c>
      <c r="F276">
        <v>130</v>
      </c>
      <c r="G276" s="1">
        <v>45518</v>
      </c>
      <c r="H276" t="s">
        <v>11</v>
      </c>
      <c r="I276">
        <v>2024</v>
      </c>
      <c r="J276">
        <v>8</v>
      </c>
    </row>
    <row r="277" spans="1:10" x14ac:dyDescent="0.3">
      <c r="A277">
        <v>198</v>
      </c>
      <c r="B277">
        <v>9</v>
      </c>
      <c r="C277">
        <v>5</v>
      </c>
      <c r="D277">
        <v>30</v>
      </c>
      <c r="E277">
        <v>150</v>
      </c>
      <c r="F277">
        <v>259</v>
      </c>
      <c r="G277" s="1">
        <v>45463</v>
      </c>
      <c r="H277" t="s">
        <v>11</v>
      </c>
      <c r="I277">
        <v>2024</v>
      </c>
      <c r="J277">
        <v>6</v>
      </c>
    </row>
    <row r="278" spans="1:10" x14ac:dyDescent="0.3">
      <c r="A278">
        <v>198</v>
      </c>
      <c r="B278">
        <v>33</v>
      </c>
      <c r="C278">
        <v>2</v>
      </c>
      <c r="D278">
        <v>43</v>
      </c>
      <c r="E278">
        <v>86</v>
      </c>
      <c r="F278">
        <v>259</v>
      </c>
      <c r="G278" s="1">
        <v>45463</v>
      </c>
      <c r="H278" t="s">
        <v>11</v>
      </c>
      <c r="I278">
        <v>2024</v>
      </c>
      <c r="J278">
        <v>6</v>
      </c>
    </row>
    <row r="279" spans="1:10" x14ac:dyDescent="0.3">
      <c r="A279">
        <v>624</v>
      </c>
      <c r="B279">
        <v>10</v>
      </c>
      <c r="C279">
        <v>2</v>
      </c>
      <c r="D279">
        <v>53</v>
      </c>
      <c r="E279">
        <v>106</v>
      </c>
      <c r="F279">
        <v>78</v>
      </c>
      <c r="G279" s="1">
        <v>45650</v>
      </c>
      <c r="H279" t="s">
        <v>11</v>
      </c>
      <c r="I279">
        <v>2024</v>
      </c>
      <c r="J279">
        <v>12</v>
      </c>
    </row>
    <row r="280" spans="1:10" x14ac:dyDescent="0.3">
      <c r="A280">
        <v>624</v>
      </c>
      <c r="B280">
        <v>43</v>
      </c>
      <c r="C280">
        <v>2</v>
      </c>
      <c r="D280">
        <v>98</v>
      </c>
      <c r="E280">
        <v>196</v>
      </c>
      <c r="F280">
        <v>78</v>
      </c>
      <c r="G280" s="1">
        <v>45650</v>
      </c>
      <c r="H280" t="s">
        <v>11</v>
      </c>
      <c r="I280">
        <v>2024</v>
      </c>
      <c r="J280">
        <v>12</v>
      </c>
    </row>
    <row r="281" spans="1:10" x14ac:dyDescent="0.3">
      <c r="A281">
        <v>568</v>
      </c>
      <c r="B281">
        <v>44</v>
      </c>
      <c r="C281">
        <v>3</v>
      </c>
      <c r="D281">
        <v>28</v>
      </c>
      <c r="E281">
        <v>84</v>
      </c>
      <c r="F281">
        <v>156</v>
      </c>
      <c r="G281" s="1">
        <v>45355</v>
      </c>
      <c r="H281" t="s">
        <v>11</v>
      </c>
      <c r="I281">
        <v>2024</v>
      </c>
      <c r="J281">
        <v>3</v>
      </c>
    </row>
    <row r="282" spans="1:10" x14ac:dyDescent="0.3">
      <c r="A282">
        <v>568</v>
      </c>
      <c r="B282">
        <v>33</v>
      </c>
      <c r="C282">
        <v>2</v>
      </c>
      <c r="D282">
        <v>94</v>
      </c>
      <c r="E282">
        <v>188</v>
      </c>
      <c r="F282">
        <v>156</v>
      </c>
      <c r="G282" s="1">
        <v>45355</v>
      </c>
      <c r="H282" t="s">
        <v>11</v>
      </c>
      <c r="I282">
        <v>2024</v>
      </c>
      <c r="J282">
        <v>3</v>
      </c>
    </row>
    <row r="283" spans="1:10" x14ac:dyDescent="0.3">
      <c r="A283">
        <v>568</v>
      </c>
      <c r="B283">
        <v>44</v>
      </c>
      <c r="C283">
        <v>5</v>
      </c>
      <c r="D283">
        <v>35</v>
      </c>
      <c r="E283">
        <v>175</v>
      </c>
      <c r="F283">
        <v>156</v>
      </c>
      <c r="G283" s="1">
        <v>45355</v>
      </c>
      <c r="H283" t="s">
        <v>11</v>
      </c>
      <c r="I283">
        <v>2024</v>
      </c>
      <c r="J283">
        <v>3</v>
      </c>
    </row>
    <row r="284" spans="1:10" x14ac:dyDescent="0.3">
      <c r="A284">
        <v>972</v>
      </c>
      <c r="B284">
        <v>31</v>
      </c>
      <c r="C284">
        <v>2</v>
      </c>
      <c r="D284">
        <v>80</v>
      </c>
      <c r="E284">
        <v>160</v>
      </c>
      <c r="F284">
        <v>179</v>
      </c>
      <c r="G284" s="1">
        <v>45464</v>
      </c>
      <c r="H284" t="s">
        <v>11</v>
      </c>
      <c r="I284">
        <v>2024</v>
      </c>
      <c r="J284">
        <v>6</v>
      </c>
    </row>
    <row r="285" spans="1:10" x14ac:dyDescent="0.3">
      <c r="A285">
        <v>972</v>
      </c>
      <c r="B285">
        <v>49</v>
      </c>
      <c r="C285">
        <v>2</v>
      </c>
      <c r="D285">
        <v>74</v>
      </c>
      <c r="E285">
        <v>148</v>
      </c>
      <c r="F285">
        <v>179</v>
      </c>
      <c r="G285" s="1">
        <v>45464</v>
      </c>
      <c r="H285" t="s">
        <v>11</v>
      </c>
      <c r="I285">
        <v>2024</v>
      </c>
      <c r="J285">
        <v>6</v>
      </c>
    </row>
    <row r="286" spans="1:10" x14ac:dyDescent="0.3">
      <c r="A286">
        <v>972</v>
      </c>
      <c r="B286">
        <v>36</v>
      </c>
      <c r="C286">
        <v>3</v>
      </c>
      <c r="D286">
        <v>78</v>
      </c>
      <c r="E286">
        <v>234</v>
      </c>
      <c r="F286">
        <v>179</v>
      </c>
      <c r="G286" s="1">
        <v>45464</v>
      </c>
      <c r="H286" t="s">
        <v>11</v>
      </c>
      <c r="I286">
        <v>2024</v>
      </c>
      <c r="J286">
        <v>6</v>
      </c>
    </row>
    <row r="287" spans="1:10" x14ac:dyDescent="0.3">
      <c r="A287">
        <v>972</v>
      </c>
      <c r="B287">
        <v>3</v>
      </c>
      <c r="C287">
        <v>4</v>
      </c>
      <c r="D287">
        <v>42</v>
      </c>
      <c r="E287">
        <v>168</v>
      </c>
      <c r="F287">
        <v>179</v>
      </c>
      <c r="G287" s="1">
        <v>45464</v>
      </c>
      <c r="H287" t="s">
        <v>11</v>
      </c>
      <c r="I287">
        <v>2024</v>
      </c>
      <c r="J287">
        <v>6</v>
      </c>
    </row>
    <row r="288" spans="1:10" x14ac:dyDescent="0.3">
      <c r="A288">
        <v>691</v>
      </c>
      <c r="B288">
        <v>23</v>
      </c>
      <c r="C288">
        <v>4</v>
      </c>
      <c r="D288">
        <v>111</v>
      </c>
      <c r="E288">
        <v>444</v>
      </c>
      <c r="F288">
        <v>160</v>
      </c>
      <c r="G288" s="1">
        <v>45655</v>
      </c>
      <c r="H288" t="s">
        <v>11</v>
      </c>
      <c r="I288">
        <v>2024</v>
      </c>
      <c r="J288">
        <v>12</v>
      </c>
    </row>
    <row r="289" spans="1:10" x14ac:dyDescent="0.3">
      <c r="A289">
        <v>691</v>
      </c>
      <c r="B289">
        <v>13</v>
      </c>
      <c r="C289">
        <v>3</v>
      </c>
      <c r="D289">
        <v>70</v>
      </c>
      <c r="E289">
        <v>210</v>
      </c>
      <c r="F289">
        <v>160</v>
      </c>
      <c r="G289" s="1">
        <v>45655</v>
      </c>
      <c r="H289" t="s">
        <v>11</v>
      </c>
      <c r="I289">
        <v>2024</v>
      </c>
      <c r="J289">
        <v>12</v>
      </c>
    </row>
    <row r="290" spans="1:10" x14ac:dyDescent="0.3">
      <c r="A290">
        <v>691</v>
      </c>
      <c r="B290">
        <v>1</v>
      </c>
      <c r="C290">
        <v>2</v>
      </c>
      <c r="D290">
        <v>53</v>
      </c>
      <c r="E290">
        <v>106</v>
      </c>
      <c r="F290">
        <v>160</v>
      </c>
      <c r="G290" s="1">
        <v>45655</v>
      </c>
      <c r="H290" t="s">
        <v>11</v>
      </c>
      <c r="I290">
        <v>2024</v>
      </c>
      <c r="J290">
        <v>12</v>
      </c>
    </row>
    <row r="291" spans="1:10" x14ac:dyDescent="0.3">
      <c r="A291">
        <v>421</v>
      </c>
      <c r="B291">
        <v>30</v>
      </c>
      <c r="C291">
        <v>1</v>
      </c>
      <c r="D291">
        <v>17</v>
      </c>
      <c r="E291">
        <v>17</v>
      </c>
      <c r="F291">
        <v>65</v>
      </c>
      <c r="G291" s="1">
        <v>45636</v>
      </c>
      <c r="H291" t="s">
        <v>11</v>
      </c>
      <c r="I291">
        <v>2024</v>
      </c>
      <c r="J291">
        <v>12</v>
      </c>
    </row>
    <row r="292" spans="1:10" x14ac:dyDescent="0.3">
      <c r="A292">
        <v>421</v>
      </c>
      <c r="B292">
        <v>21</v>
      </c>
      <c r="C292">
        <v>2</v>
      </c>
      <c r="D292">
        <v>60</v>
      </c>
      <c r="E292">
        <v>120</v>
      </c>
      <c r="F292">
        <v>65</v>
      </c>
      <c r="G292" s="1">
        <v>45636</v>
      </c>
      <c r="H292" t="s">
        <v>11</v>
      </c>
      <c r="I292">
        <v>2024</v>
      </c>
      <c r="J292">
        <v>12</v>
      </c>
    </row>
    <row r="293" spans="1:10" x14ac:dyDescent="0.3">
      <c r="A293">
        <v>421</v>
      </c>
      <c r="B293">
        <v>11</v>
      </c>
      <c r="C293">
        <v>4</v>
      </c>
      <c r="D293">
        <v>74</v>
      </c>
      <c r="E293">
        <v>296</v>
      </c>
      <c r="F293">
        <v>65</v>
      </c>
      <c r="G293" s="1">
        <v>45636</v>
      </c>
      <c r="H293" t="s">
        <v>11</v>
      </c>
      <c r="I293">
        <v>2024</v>
      </c>
      <c r="J293">
        <v>12</v>
      </c>
    </row>
    <row r="294" spans="1:10" x14ac:dyDescent="0.3">
      <c r="A294">
        <v>421</v>
      </c>
      <c r="B294">
        <v>37</v>
      </c>
      <c r="C294">
        <v>1</v>
      </c>
      <c r="D294">
        <v>18</v>
      </c>
      <c r="E294">
        <v>18</v>
      </c>
      <c r="F294">
        <v>65</v>
      </c>
      <c r="G294" s="1">
        <v>45636</v>
      </c>
      <c r="H294" t="s">
        <v>11</v>
      </c>
      <c r="I294">
        <v>2024</v>
      </c>
      <c r="J294">
        <v>12</v>
      </c>
    </row>
    <row r="295" spans="1:10" x14ac:dyDescent="0.3">
      <c r="A295">
        <v>401</v>
      </c>
      <c r="B295">
        <v>33</v>
      </c>
      <c r="C295">
        <v>4</v>
      </c>
      <c r="D295">
        <v>86</v>
      </c>
      <c r="E295">
        <v>344</v>
      </c>
      <c r="F295">
        <v>290</v>
      </c>
      <c r="G295" s="1">
        <v>45331</v>
      </c>
      <c r="H295" t="s">
        <v>11</v>
      </c>
      <c r="I295">
        <v>2024</v>
      </c>
      <c r="J295">
        <v>2</v>
      </c>
    </row>
    <row r="296" spans="1:10" x14ac:dyDescent="0.3">
      <c r="A296">
        <v>401</v>
      </c>
      <c r="B296">
        <v>47</v>
      </c>
      <c r="C296">
        <v>4</v>
      </c>
      <c r="D296">
        <v>70</v>
      </c>
      <c r="E296">
        <v>280</v>
      </c>
      <c r="F296">
        <v>290</v>
      </c>
      <c r="G296" s="1">
        <v>45331</v>
      </c>
      <c r="H296" t="s">
        <v>11</v>
      </c>
      <c r="I296">
        <v>2024</v>
      </c>
      <c r="J296">
        <v>2</v>
      </c>
    </row>
    <row r="297" spans="1:10" x14ac:dyDescent="0.3">
      <c r="A297">
        <v>401</v>
      </c>
      <c r="B297">
        <v>28</v>
      </c>
      <c r="C297">
        <v>3</v>
      </c>
      <c r="D297">
        <v>85</v>
      </c>
      <c r="E297">
        <v>255</v>
      </c>
      <c r="F297">
        <v>290</v>
      </c>
      <c r="G297" s="1">
        <v>45331</v>
      </c>
      <c r="H297" t="s">
        <v>11</v>
      </c>
      <c r="I297">
        <v>2024</v>
      </c>
      <c r="J297">
        <v>2</v>
      </c>
    </row>
    <row r="298" spans="1:10" x14ac:dyDescent="0.3">
      <c r="A298">
        <v>401</v>
      </c>
      <c r="B298">
        <v>5</v>
      </c>
      <c r="C298">
        <v>2</v>
      </c>
      <c r="D298">
        <v>35</v>
      </c>
      <c r="E298">
        <v>70</v>
      </c>
      <c r="F298">
        <v>290</v>
      </c>
      <c r="G298" s="1">
        <v>45331</v>
      </c>
      <c r="H298" t="s">
        <v>11</v>
      </c>
      <c r="I298">
        <v>2024</v>
      </c>
      <c r="J298">
        <v>2</v>
      </c>
    </row>
    <row r="299" spans="1:10" x14ac:dyDescent="0.3">
      <c r="A299">
        <v>401</v>
      </c>
      <c r="B299">
        <v>47</v>
      </c>
      <c r="C299">
        <v>5</v>
      </c>
      <c r="D299">
        <v>70</v>
      </c>
      <c r="E299">
        <v>350</v>
      </c>
      <c r="F299">
        <v>290</v>
      </c>
      <c r="G299" s="1">
        <v>45331</v>
      </c>
      <c r="H299" t="s">
        <v>11</v>
      </c>
      <c r="I299">
        <v>2024</v>
      </c>
      <c r="J299">
        <v>2</v>
      </c>
    </row>
    <row r="300" spans="1:10" x14ac:dyDescent="0.3">
      <c r="A300">
        <v>698</v>
      </c>
      <c r="B300">
        <v>9</v>
      </c>
      <c r="C300">
        <v>2</v>
      </c>
      <c r="D300">
        <v>110</v>
      </c>
      <c r="E300">
        <v>220</v>
      </c>
      <c r="F300">
        <v>170</v>
      </c>
      <c r="G300" s="1">
        <v>45541</v>
      </c>
      <c r="H300" t="s">
        <v>11</v>
      </c>
      <c r="I300">
        <v>2024</v>
      </c>
      <c r="J300">
        <v>9</v>
      </c>
    </row>
    <row r="301" spans="1:10" x14ac:dyDescent="0.3">
      <c r="A301">
        <v>698</v>
      </c>
      <c r="B301">
        <v>20</v>
      </c>
      <c r="C301">
        <v>2</v>
      </c>
      <c r="D301">
        <v>15</v>
      </c>
      <c r="E301">
        <v>30</v>
      </c>
      <c r="F301">
        <v>170</v>
      </c>
      <c r="G301" s="1">
        <v>45541</v>
      </c>
      <c r="H301" t="s">
        <v>11</v>
      </c>
      <c r="I301">
        <v>2024</v>
      </c>
      <c r="J301">
        <v>9</v>
      </c>
    </row>
    <row r="302" spans="1:10" x14ac:dyDescent="0.3">
      <c r="A302">
        <v>698</v>
      </c>
      <c r="B302">
        <v>37</v>
      </c>
      <c r="C302">
        <v>5</v>
      </c>
      <c r="D302">
        <v>31</v>
      </c>
      <c r="E302">
        <v>155</v>
      </c>
      <c r="F302">
        <v>170</v>
      </c>
      <c r="G302" s="1">
        <v>45541</v>
      </c>
      <c r="H302" t="s">
        <v>11</v>
      </c>
      <c r="I302">
        <v>2024</v>
      </c>
      <c r="J302">
        <v>9</v>
      </c>
    </row>
    <row r="303" spans="1:10" x14ac:dyDescent="0.3">
      <c r="A303">
        <v>218</v>
      </c>
      <c r="B303">
        <v>1</v>
      </c>
      <c r="C303">
        <v>1</v>
      </c>
      <c r="D303">
        <v>50</v>
      </c>
      <c r="E303">
        <v>50</v>
      </c>
      <c r="F303">
        <v>140</v>
      </c>
      <c r="G303" s="1">
        <v>45372</v>
      </c>
      <c r="H303" t="s">
        <v>11</v>
      </c>
      <c r="I303">
        <v>2024</v>
      </c>
      <c r="J303">
        <v>3</v>
      </c>
    </row>
    <row r="304" spans="1:10" x14ac:dyDescent="0.3">
      <c r="A304">
        <v>218</v>
      </c>
      <c r="B304">
        <v>39</v>
      </c>
      <c r="C304">
        <v>2</v>
      </c>
      <c r="D304">
        <v>47</v>
      </c>
      <c r="E304">
        <v>94</v>
      </c>
      <c r="F304">
        <v>140</v>
      </c>
      <c r="G304" s="1">
        <v>45372</v>
      </c>
      <c r="H304" t="s">
        <v>11</v>
      </c>
      <c r="I304">
        <v>2024</v>
      </c>
      <c r="J304">
        <v>3</v>
      </c>
    </row>
    <row r="305" spans="1:10" x14ac:dyDescent="0.3">
      <c r="A305">
        <v>218</v>
      </c>
      <c r="B305">
        <v>29</v>
      </c>
      <c r="C305">
        <v>4</v>
      </c>
      <c r="D305">
        <v>118</v>
      </c>
      <c r="E305">
        <v>472</v>
      </c>
      <c r="F305">
        <v>140</v>
      </c>
      <c r="G305" s="1">
        <v>45372</v>
      </c>
      <c r="H305" t="s">
        <v>11</v>
      </c>
      <c r="I305">
        <v>2024</v>
      </c>
      <c r="J305">
        <v>3</v>
      </c>
    </row>
    <row r="306" spans="1:10" x14ac:dyDescent="0.3">
      <c r="A306">
        <v>218</v>
      </c>
      <c r="B306">
        <v>30</v>
      </c>
      <c r="C306">
        <v>2</v>
      </c>
      <c r="D306">
        <v>17</v>
      </c>
      <c r="E306">
        <v>34</v>
      </c>
      <c r="F306">
        <v>140</v>
      </c>
      <c r="G306" s="1">
        <v>45372</v>
      </c>
      <c r="H306" t="s">
        <v>11</v>
      </c>
      <c r="I306">
        <v>2024</v>
      </c>
      <c r="J306">
        <v>3</v>
      </c>
    </row>
    <row r="307" spans="1:10" x14ac:dyDescent="0.3">
      <c r="A307">
        <v>925</v>
      </c>
      <c r="B307">
        <v>44</v>
      </c>
      <c r="C307">
        <v>5</v>
      </c>
      <c r="D307">
        <v>84</v>
      </c>
      <c r="E307">
        <v>420</v>
      </c>
      <c r="F307">
        <v>11</v>
      </c>
      <c r="G307" s="1">
        <v>45627</v>
      </c>
      <c r="H307" t="s">
        <v>11</v>
      </c>
      <c r="I307">
        <v>2024</v>
      </c>
      <c r="J307">
        <v>12</v>
      </c>
    </row>
    <row r="308" spans="1:10" x14ac:dyDescent="0.3">
      <c r="A308">
        <v>925</v>
      </c>
      <c r="B308">
        <v>11</v>
      </c>
      <c r="C308">
        <v>5</v>
      </c>
      <c r="D308">
        <v>52</v>
      </c>
      <c r="E308">
        <v>260</v>
      </c>
      <c r="F308">
        <v>11</v>
      </c>
      <c r="G308" s="1">
        <v>45627</v>
      </c>
      <c r="H308" t="s">
        <v>11</v>
      </c>
      <c r="I308">
        <v>2024</v>
      </c>
      <c r="J308">
        <v>12</v>
      </c>
    </row>
    <row r="309" spans="1:10" x14ac:dyDescent="0.3">
      <c r="A309">
        <v>925</v>
      </c>
      <c r="B309">
        <v>34</v>
      </c>
      <c r="C309">
        <v>5</v>
      </c>
      <c r="D309">
        <v>82</v>
      </c>
      <c r="E309">
        <v>410</v>
      </c>
      <c r="F309">
        <v>11</v>
      </c>
      <c r="G309" s="1">
        <v>45627</v>
      </c>
      <c r="H309" t="s">
        <v>11</v>
      </c>
      <c r="I309">
        <v>2024</v>
      </c>
      <c r="J309">
        <v>12</v>
      </c>
    </row>
    <row r="310" spans="1:10" x14ac:dyDescent="0.3">
      <c r="A310">
        <v>925</v>
      </c>
      <c r="B310">
        <v>28</v>
      </c>
      <c r="C310">
        <v>2</v>
      </c>
      <c r="D310">
        <v>44</v>
      </c>
      <c r="E310">
        <v>88</v>
      </c>
      <c r="F310">
        <v>11</v>
      </c>
      <c r="G310" s="1">
        <v>45627</v>
      </c>
      <c r="H310" t="s">
        <v>11</v>
      </c>
      <c r="I310">
        <v>2024</v>
      </c>
      <c r="J310">
        <v>12</v>
      </c>
    </row>
    <row r="311" spans="1:10" x14ac:dyDescent="0.3">
      <c r="A311">
        <v>925</v>
      </c>
      <c r="B311">
        <v>14</v>
      </c>
      <c r="C311">
        <v>3</v>
      </c>
      <c r="D311">
        <v>119</v>
      </c>
      <c r="E311">
        <v>357</v>
      </c>
      <c r="F311">
        <v>11</v>
      </c>
      <c r="G311" s="1">
        <v>45627</v>
      </c>
      <c r="H311" t="s">
        <v>11</v>
      </c>
      <c r="I311">
        <v>2024</v>
      </c>
      <c r="J311">
        <v>12</v>
      </c>
    </row>
    <row r="312" spans="1:10" x14ac:dyDescent="0.3">
      <c r="A312">
        <v>925</v>
      </c>
      <c r="B312">
        <v>49</v>
      </c>
      <c r="C312">
        <v>3</v>
      </c>
      <c r="D312">
        <v>102</v>
      </c>
      <c r="E312">
        <v>306</v>
      </c>
      <c r="F312">
        <v>11</v>
      </c>
      <c r="G312" s="1">
        <v>45627</v>
      </c>
      <c r="H312" t="s">
        <v>11</v>
      </c>
      <c r="I312">
        <v>2024</v>
      </c>
      <c r="J312">
        <v>12</v>
      </c>
    </row>
    <row r="313" spans="1:10" x14ac:dyDescent="0.3">
      <c r="A313">
        <v>925</v>
      </c>
      <c r="B313">
        <v>15</v>
      </c>
      <c r="C313">
        <v>1</v>
      </c>
      <c r="D313">
        <v>98</v>
      </c>
      <c r="E313">
        <v>98</v>
      </c>
      <c r="F313">
        <v>11</v>
      </c>
      <c r="G313" s="1">
        <v>45627</v>
      </c>
      <c r="H313" t="s">
        <v>11</v>
      </c>
      <c r="I313">
        <v>2024</v>
      </c>
      <c r="J313">
        <v>12</v>
      </c>
    </row>
    <row r="314" spans="1:10" x14ac:dyDescent="0.3">
      <c r="A314">
        <v>925</v>
      </c>
      <c r="B314">
        <v>11</v>
      </c>
      <c r="C314">
        <v>2</v>
      </c>
      <c r="D314">
        <v>40</v>
      </c>
      <c r="E314">
        <v>80</v>
      </c>
      <c r="F314">
        <v>11</v>
      </c>
      <c r="G314" s="1">
        <v>45627</v>
      </c>
      <c r="H314" t="s">
        <v>11</v>
      </c>
      <c r="I314">
        <v>2024</v>
      </c>
      <c r="J314">
        <v>12</v>
      </c>
    </row>
    <row r="315" spans="1:10" x14ac:dyDescent="0.3">
      <c r="A315">
        <v>925</v>
      </c>
      <c r="B315">
        <v>38</v>
      </c>
      <c r="C315">
        <v>4</v>
      </c>
      <c r="D315">
        <v>28</v>
      </c>
      <c r="E315">
        <v>112</v>
      </c>
      <c r="F315">
        <v>11</v>
      </c>
      <c r="G315" s="1">
        <v>45627</v>
      </c>
      <c r="H315" t="s">
        <v>11</v>
      </c>
      <c r="I315">
        <v>2024</v>
      </c>
      <c r="J315">
        <v>12</v>
      </c>
    </row>
    <row r="316" spans="1:10" x14ac:dyDescent="0.3">
      <c r="A316">
        <v>929</v>
      </c>
      <c r="B316">
        <v>35</v>
      </c>
      <c r="C316">
        <v>2</v>
      </c>
      <c r="D316">
        <v>97</v>
      </c>
      <c r="E316">
        <v>194</v>
      </c>
      <c r="F316">
        <v>200</v>
      </c>
      <c r="G316" s="1">
        <v>45572</v>
      </c>
      <c r="H316" t="s">
        <v>11</v>
      </c>
      <c r="I316">
        <v>2024</v>
      </c>
      <c r="J316">
        <v>10</v>
      </c>
    </row>
    <row r="317" spans="1:10" x14ac:dyDescent="0.3">
      <c r="A317">
        <v>929</v>
      </c>
      <c r="B317">
        <v>12</v>
      </c>
      <c r="C317">
        <v>4</v>
      </c>
      <c r="D317">
        <v>77</v>
      </c>
      <c r="E317">
        <v>308</v>
      </c>
      <c r="F317">
        <v>200</v>
      </c>
      <c r="G317" s="1">
        <v>45572</v>
      </c>
      <c r="H317" t="s">
        <v>11</v>
      </c>
      <c r="I317">
        <v>2024</v>
      </c>
      <c r="J317">
        <v>10</v>
      </c>
    </row>
    <row r="318" spans="1:10" x14ac:dyDescent="0.3">
      <c r="A318">
        <v>929</v>
      </c>
      <c r="B318">
        <v>1</v>
      </c>
      <c r="C318">
        <v>1</v>
      </c>
      <c r="D318">
        <v>50</v>
      </c>
      <c r="E318">
        <v>50</v>
      </c>
      <c r="F318">
        <v>200</v>
      </c>
      <c r="G318" s="1">
        <v>45572</v>
      </c>
      <c r="H318" t="s">
        <v>11</v>
      </c>
      <c r="I318">
        <v>2024</v>
      </c>
      <c r="J318">
        <v>10</v>
      </c>
    </row>
    <row r="319" spans="1:10" x14ac:dyDescent="0.3">
      <c r="A319">
        <v>828</v>
      </c>
      <c r="B319">
        <v>11</v>
      </c>
      <c r="C319">
        <v>4</v>
      </c>
      <c r="D319">
        <v>79</v>
      </c>
      <c r="E319">
        <v>316</v>
      </c>
      <c r="F319">
        <v>178</v>
      </c>
      <c r="G319" s="1">
        <v>45649</v>
      </c>
      <c r="H319" t="s">
        <v>11</v>
      </c>
      <c r="I319">
        <v>2024</v>
      </c>
      <c r="J319">
        <v>12</v>
      </c>
    </row>
    <row r="320" spans="1:10" x14ac:dyDescent="0.3">
      <c r="A320">
        <v>828</v>
      </c>
      <c r="B320">
        <v>18</v>
      </c>
      <c r="C320">
        <v>2</v>
      </c>
      <c r="D320">
        <v>91</v>
      </c>
      <c r="E320">
        <v>182</v>
      </c>
      <c r="F320">
        <v>178</v>
      </c>
      <c r="G320" s="1">
        <v>45649</v>
      </c>
      <c r="H320" t="s">
        <v>11</v>
      </c>
      <c r="I320">
        <v>2024</v>
      </c>
      <c r="J320">
        <v>12</v>
      </c>
    </row>
    <row r="321" spans="1:10" x14ac:dyDescent="0.3">
      <c r="A321">
        <v>828</v>
      </c>
      <c r="B321">
        <v>27</v>
      </c>
      <c r="C321">
        <v>4</v>
      </c>
      <c r="D321">
        <v>71</v>
      </c>
      <c r="E321">
        <v>284</v>
      </c>
      <c r="F321">
        <v>178</v>
      </c>
      <c r="G321" s="1">
        <v>45649</v>
      </c>
      <c r="H321" t="s">
        <v>11</v>
      </c>
      <c r="I321">
        <v>2024</v>
      </c>
      <c r="J321">
        <v>12</v>
      </c>
    </row>
    <row r="322" spans="1:10" x14ac:dyDescent="0.3">
      <c r="A322">
        <v>729</v>
      </c>
      <c r="B322">
        <v>16</v>
      </c>
      <c r="C322">
        <v>5</v>
      </c>
      <c r="D322">
        <v>35</v>
      </c>
      <c r="E322">
        <v>175</v>
      </c>
      <c r="F322">
        <v>214</v>
      </c>
      <c r="G322" s="1">
        <v>45332</v>
      </c>
      <c r="H322" t="s">
        <v>11</v>
      </c>
      <c r="I322">
        <v>2024</v>
      </c>
      <c r="J322">
        <v>2</v>
      </c>
    </row>
    <row r="323" spans="1:10" x14ac:dyDescent="0.3">
      <c r="A323">
        <v>729</v>
      </c>
      <c r="B323">
        <v>38</v>
      </c>
      <c r="C323">
        <v>2</v>
      </c>
      <c r="D323">
        <v>40</v>
      </c>
      <c r="E323">
        <v>80</v>
      </c>
      <c r="F323">
        <v>214</v>
      </c>
      <c r="G323" s="1">
        <v>45332</v>
      </c>
      <c r="H323" t="s">
        <v>11</v>
      </c>
      <c r="I323">
        <v>2024</v>
      </c>
      <c r="J323">
        <v>2</v>
      </c>
    </row>
    <row r="324" spans="1:10" x14ac:dyDescent="0.3">
      <c r="A324">
        <v>729</v>
      </c>
      <c r="B324">
        <v>2</v>
      </c>
      <c r="C324">
        <v>4</v>
      </c>
      <c r="D324">
        <v>21</v>
      </c>
      <c r="E324">
        <v>84</v>
      </c>
      <c r="F324">
        <v>214</v>
      </c>
      <c r="G324" s="1">
        <v>45332</v>
      </c>
      <c r="H324" t="s">
        <v>11</v>
      </c>
      <c r="I324">
        <v>2024</v>
      </c>
      <c r="J324">
        <v>2</v>
      </c>
    </row>
    <row r="325" spans="1:10" x14ac:dyDescent="0.3">
      <c r="A325">
        <v>951</v>
      </c>
      <c r="B325">
        <v>32</v>
      </c>
      <c r="C325">
        <v>4</v>
      </c>
      <c r="D325">
        <v>112</v>
      </c>
      <c r="E325">
        <v>448</v>
      </c>
      <c r="F325">
        <v>101</v>
      </c>
      <c r="G325" s="1">
        <v>45293</v>
      </c>
      <c r="H325" t="s">
        <v>11</v>
      </c>
      <c r="I325">
        <v>2024</v>
      </c>
      <c r="J325">
        <v>1</v>
      </c>
    </row>
    <row r="326" spans="1:10" x14ac:dyDescent="0.3">
      <c r="A326">
        <v>951</v>
      </c>
      <c r="B326">
        <v>43</v>
      </c>
      <c r="C326">
        <v>3</v>
      </c>
      <c r="D326">
        <v>74</v>
      </c>
      <c r="E326">
        <v>222</v>
      </c>
      <c r="F326">
        <v>101</v>
      </c>
      <c r="G326" s="1">
        <v>45293</v>
      </c>
      <c r="H326" t="s">
        <v>11</v>
      </c>
      <c r="I326">
        <v>2024</v>
      </c>
      <c r="J326">
        <v>1</v>
      </c>
    </row>
    <row r="327" spans="1:10" x14ac:dyDescent="0.3">
      <c r="A327">
        <v>725</v>
      </c>
      <c r="B327">
        <v>45</v>
      </c>
      <c r="C327">
        <v>5</v>
      </c>
      <c r="D327">
        <v>38</v>
      </c>
      <c r="E327">
        <v>190</v>
      </c>
      <c r="F327">
        <v>180</v>
      </c>
      <c r="G327" s="1">
        <v>45625</v>
      </c>
      <c r="H327" t="s">
        <v>11</v>
      </c>
      <c r="I327">
        <v>2024</v>
      </c>
      <c r="J327">
        <v>11</v>
      </c>
    </row>
    <row r="328" spans="1:10" x14ac:dyDescent="0.3">
      <c r="A328">
        <v>13</v>
      </c>
      <c r="B328">
        <v>8</v>
      </c>
      <c r="C328">
        <v>2</v>
      </c>
      <c r="D328">
        <v>75</v>
      </c>
      <c r="E328">
        <v>150</v>
      </c>
      <c r="F328">
        <v>131</v>
      </c>
      <c r="G328" s="1">
        <v>45457</v>
      </c>
      <c r="H328" t="s">
        <v>11</v>
      </c>
      <c r="I328">
        <v>2024</v>
      </c>
      <c r="J328">
        <v>6</v>
      </c>
    </row>
    <row r="329" spans="1:10" x14ac:dyDescent="0.3">
      <c r="A329">
        <v>13</v>
      </c>
      <c r="B329">
        <v>28</v>
      </c>
      <c r="C329">
        <v>1</v>
      </c>
      <c r="D329">
        <v>45</v>
      </c>
      <c r="E329">
        <v>45</v>
      </c>
      <c r="F329">
        <v>131</v>
      </c>
      <c r="G329" s="1">
        <v>45457</v>
      </c>
      <c r="H329" t="s">
        <v>11</v>
      </c>
      <c r="I329">
        <v>2024</v>
      </c>
      <c r="J329">
        <v>6</v>
      </c>
    </row>
    <row r="330" spans="1:10" x14ac:dyDescent="0.3">
      <c r="A330">
        <v>13</v>
      </c>
      <c r="B330">
        <v>23</v>
      </c>
      <c r="C330">
        <v>4</v>
      </c>
      <c r="D330">
        <v>106</v>
      </c>
      <c r="E330">
        <v>424</v>
      </c>
      <c r="F330">
        <v>131</v>
      </c>
      <c r="G330" s="1">
        <v>45457</v>
      </c>
      <c r="H330" t="s">
        <v>11</v>
      </c>
      <c r="I330">
        <v>2024</v>
      </c>
      <c r="J330">
        <v>6</v>
      </c>
    </row>
    <row r="331" spans="1:10" x14ac:dyDescent="0.3">
      <c r="A331">
        <v>13</v>
      </c>
      <c r="B331">
        <v>16</v>
      </c>
      <c r="C331">
        <v>1</v>
      </c>
      <c r="D331">
        <v>118</v>
      </c>
      <c r="E331">
        <v>118</v>
      </c>
      <c r="F331">
        <v>131</v>
      </c>
      <c r="G331" s="1">
        <v>45457</v>
      </c>
      <c r="H331" t="s">
        <v>11</v>
      </c>
      <c r="I331">
        <v>2024</v>
      </c>
      <c r="J331">
        <v>6</v>
      </c>
    </row>
    <row r="332" spans="1:10" x14ac:dyDescent="0.3">
      <c r="A332">
        <v>101</v>
      </c>
      <c r="B332">
        <v>27</v>
      </c>
      <c r="C332">
        <v>4</v>
      </c>
      <c r="D332">
        <v>28</v>
      </c>
      <c r="E332">
        <v>112</v>
      </c>
      <c r="F332">
        <v>101</v>
      </c>
      <c r="G332" s="1">
        <v>45650</v>
      </c>
      <c r="H332" t="s">
        <v>11</v>
      </c>
      <c r="I332">
        <v>2024</v>
      </c>
      <c r="J332">
        <v>12</v>
      </c>
    </row>
    <row r="333" spans="1:10" x14ac:dyDescent="0.3">
      <c r="A333">
        <v>101</v>
      </c>
      <c r="B333">
        <v>22</v>
      </c>
      <c r="C333">
        <v>3</v>
      </c>
      <c r="D333">
        <v>106</v>
      </c>
      <c r="E333">
        <v>318</v>
      </c>
      <c r="F333">
        <v>101</v>
      </c>
      <c r="G333" s="1">
        <v>45650</v>
      </c>
      <c r="H333" t="s">
        <v>11</v>
      </c>
      <c r="I333">
        <v>2024</v>
      </c>
      <c r="J333">
        <v>12</v>
      </c>
    </row>
    <row r="334" spans="1:10" x14ac:dyDescent="0.3">
      <c r="A334">
        <v>101</v>
      </c>
      <c r="B334">
        <v>19</v>
      </c>
      <c r="C334">
        <v>3</v>
      </c>
      <c r="D334">
        <v>54</v>
      </c>
      <c r="E334">
        <v>162</v>
      </c>
      <c r="F334">
        <v>101</v>
      </c>
      <c r="G334" s="1">
        <v>45650</v>
      </c>
      <c r="H334" t="s">
        <v>11</v>
      </c>
      <c r="I334">
        <v>2024</v>
      </c>
      <c r="J334">
        <v>12</v>
      </c>
    </row>
    <row r="335" spans="1:10" x14ac:dyDescent="0.3">
      <c r="A335">
        <v>536</v>
      </c>
      <c r="B335">
        <v>1</v>
      </c>
      <c r="C335">
        <v>3</v>
      </c>
      <c r="D335">
        <v>67</v>
      </c>
      <c r="E335">
        <v>201</v>
      </c>
      <c r="F335">
        <v>148</v>
      </c>
      <c r="G335" s="1">
        <v>45318</v>
      </c>
      <c r="H335" t="s">
        <v>11</v>
      </c>
      <c r="I335">
        <v>2024</v>
      </c>
      <c r="J335">
        <v>1</v>
      </c>
    </row>
    <row r="336" spans="1:10" x14ac:dyDescent="0.3">
      <c r="A336">
        <v>536</v>
      </c>
      <c r="B336">
        <v>34</v>
      </c>
      <c r="C336">
        <v>2</v>
      </c>
      <c r="D336">
        <v>93</v>
      </c>
      <c r="E336">
        <v>186</v>
      </c>
      <c r="F336">
        <v>148</v>
      </c>
      <c r="G336" s="1">
        <v>45318</v>
      </c>
      <c r="H336" t="s">
        <v>11</v>
      </c>
      <c r="I336">
        <v>2024</v>
      </c>
      <c r="J336">
        <v>1</v>
      </c>
    </row>
    <row r="337" spans="1:10" x14ac:dyDescent="0.3">
      <c r="A337">
        <v>536</v>
      </c>
      <c r="B337">
        <v>5</v>
      </c>
      <c r="C337">
        <v>1</v>
      </c>
      <c r="D337">
        <v>103</v>
      </c>
      <c r="E337">
        <v>103</v>
      </c>
      <c r="F337">
        <v>148</v>
      </c>
      <c r="G337" s="1">
        <v>45318</v>
      </c>
      <c r="H337" t="s">
        <v>11</v>
      </c>
      <c r="I337">
        <v>2024</v>
      </c>
      <c r="J337">
        <v>1</v>
      </c>
    </row>
    <row r="338" spans="1:10" x14ac:dyDescent="0.3">
      <c r="A338">
        <v>536</v>
      </c>
      <c r="B338">
        <v>36</v>
      </c>
      <c r="C338">
        <v>5</v>
      </c>
      <c r="D338">
        <v>75</v>
      </c>
      <c r="E338">
        <v>375</v>
      </c>
      <c r="F338">
        <v>148</v>
      </c>
      <c r="G338" s="1">
        <v>45318</v>
      </c>
      <c r="H338" t="s">
        <v>11</v>
      </c>
      <c r="I338">
        <v>2024</v>
      </c>
      <c r="J338">
        <v>1</v>
      </c>
    </row>
    <row r="339" spans="1:10" x14ac:dyDescent="0.3">
      <c r="A339">
        <v>876</v>
      </c>
      <c r="B339">
        <v>43</v>
      </c>
      <c r="C339">
        <v>3</v>
      </c>
      <c r="D339">
        <v>79</v>
      </c>
      <c r="E339">
        <v>237</v>
      </c>
      <c r="F339">
        <v>153</v>
      </c>
      <c r="G339" s="1">
        <v>45373</v>
      </c>
      <c r="H339" t="s">
        <v>11</v>
      </c>
      <c r="I339">
        <v>2024</v>
      </c>
      <c r="J339">
        <v>3</v>
      </c>
    </row>
    <row r="340" spans="1:10" x14ac:dyDescent="0.3">
      <c r="A340">
        <v>876</v>
      </c>
      <c r="B340">
        <v>14</v>
      </c>
      <c r="C340">
        <v>1</v>
      </c>
      <c r="D340">
        <v>58</v>
      </c>
      <c r="E340">
        <v>58</v>
      </c>
      <c r="F340">
        <v>153</v>
      </c>
      <c r="G340" s="1">
        <v>45373</v>
      </c>
      <c r="H340" t="s">
        <v>11</v>
      </c>
      <c r="I340">
        <v>2024</v>
      </c>
      <c r="J340">
        <v>3</v>
      </c>
    </row>
    <row r="341" spans="1:10" x14ac:dyDescent="0.3">
      <c r="A341">
        <v>876</v>
      </c>
      <c r="B341">
        <v>42</v>
      </c>
      <c r="C341">
        <v>2</v>
      </c>
      <c r="D341">
        <v>39</v>
      </c>
      <c r="E341">
        <v>78</v>
      </c>
      <c r="F341">
        <v>153</v>
      </c>
      <c r="G341" s="1">
        <v>45373</v>
      </c>
      <c r="H341" t="s">
        <v>11</v>
      </c>
      <c r="I341">
        <v>2024</v>
      </c>
      <c r="J341">
        <v>3</v>
      </c>
    </row>
    <row r="342" spans="1:10" x14ac:dyDescent="0.3">
      <c r="A342">
        <v>785</v>
      </c>
      <c r="B342">
        <v>42</v>
      </c>
      <c r="C342">
        <v>2</v>
      </c>
      <c r="D342">
        <v>46</v>
      </c>
      <c r="E342">
        <v>92</v>
      </c>
      <c r="F342">
        <v>70</v>
      </c>
      <c r="G342" s="1">
        <v>45311</v>
      </c>
      <c r="H342" t="s">
        <v>11</v>
      </c>
      <c r="I342">
        <v>2024</v>
      </c>
      <c r="J342">
        <v>1</v>
      </c>
    </row>
    <row r="343" spans="1:10" x14ac:dyDescent="0.3">
      <c r="A343">
        <v>785</v>
      </c>
      <c r="B343">
        <v>26</v>
      </c>
      <c r="C343">
        <v>3</v>
      </c>
      <c r="D343">
        <v>46</v>
      </c>
      <c r="E343">
        <v>138</v>
      </c>
      <c r="F343">
        <v>70</v>
      </c>
      <c r="G343" s="1">
        <v>45311</v>
      </c>
      <c r="H343" t="s">
        <v>11</v>
      </c>
      <c r="I343">
        <v>2024</v>
      </c>
      <c r="J343">
        <v>1</v>
      </c>
    </row>
    <row r="344" spans="1:10" x14ac:dyDescent="0.3">
      <c r="A344">
        <v>785</v>
      </c>
      <c r="B344">
        <v>38</v>
      </c>
      <c r="C344">
        <v>1</v>
      </c>
      <c r="D344">
        <v>83</v>
      </c>
      <c r="E344">
        <v>83</v>
      </c>
      <c r="F344">
        <v>70</v>
      </c>
      <c r="G344" s="1">
        <v>45311</v>
      </c>
      <c r="H344" t="s">
        <v>11</v>
      </c>
      <c r="I344">
        <v>2024</v>
      </c>
      <c r="J344">
        <v>1</v>
      </c>
    </row>
    <row r="345" spans="1:10" x14ac:dyDescent="0.3">
      <c r="A345">
        <v>785</v>
      </c>
      <c r="B345">
        <v>30</v>
      </c>
      <c r="C345">
        <v>5</v>
      </c>
      <c r="D345">
        <v>22</v>
      </c>
      <c r="E345">
        <v>110</v>
      </c>
      <c r="F345">
        <v>70</v>
      </c>
      <c r="G345" s="1">
        <v>45311</v>
      </c>
      <c r="H345" t="s">
        <v>11</v>
      </c>
      <c r="I345">
        <v>2024</v>
      </c>
      <c r="J345">
        <v>1</v>
      </c>
    </row>
    <row r="346" spans="1:10" x14ac:dyDescent="0.3">
      <c r="A346">
        <v>793</v>
      </c>
      <c r="B346">
        <v>43</v>
      </c>
      <c r="C346">
        <v>2</v>
      </c>
      <c r="D346">
        <v>39</v>
      </c>
      <c r="E346">
        <v>78</v>
      </c>
      <c r="F346">
        <v>31</v>
      </c>
      <c r="G346" s="1">
        <v>45350</v>
      </c>
      <c r="H346" t="s">
        <v>11</v>
      </c>
      <c r="I346">
        <v>2024</v>
      </c>
      <c r="J346">
        <v>2</v>
      </c>
    </row>
    <row r="347" spans="1:10" x14ac:dyDescent="0.3">
      <c r="A347">
        <v>606</v>
      </c>
      <c r="B347">
        <v>31</v>
      </c>
      <c r="C347">
        <v>4</v>
      </c>
      <c r="D347">
        <v>80</v>
      </c>
      <c r="E347">
        <v>320</v>
      </c>
      <c r="F347">
        <v>63</v>
      </c>
      <c r="G347" s="1">
        <v>45407</v>
      </c>
      <c r="H347" t="s">
        <v>11</v>
      </c>
      <c r="I347">
        <v>2024</v>
      </c>
      <c r="J347">
        <v>4</v>
      </c>
    </row>
    <row r="348" spans="1:10" x14ac:dyDescent="0.3">
      <c r="A348">
        <v>606</v>
      </c>
      <c r="B348">
        <v>32</v>
      </c>
      <c r="C348">
        <v>2</v>
      </c>
      <c r="D348">
        <v>98</v>
      </c>
      <c r="E348">
        <v>196</v>
      </c>
      <c r="F348">
        <v>63</v>
      </c>
      <c r="G348" s="1">
        <v>45407</v>
      </c>
      <c r="H348" t="s">
        <v>11</v>
      </c>
      <c r="I348">
        <v>2024</v>
      </c>
      <c r="J348">
        <v>4</v>
      </c>
    </row>
    <row r="349" spans="1:10" x14ac:dyDescent="0.3">
      <c r="A349">
        <v>606</v>
      </c>
      <c r="B349">
        <v>14</v>
      </c>
      <c r="C349">
        <v>1</v>
      </c>
      <c r="D349">
        <v>77</v>
      </c>
      <c r="E349">
        <v>77</v>
      </c>
      <c r="F349">
        <v>63</v>
      </c>
      <c r="G349" s="1">
        <v>45407</v>
      </c>
      <c r="H349" t="s">
        <v>11</v>
      </c>
      <c r="I349">
        <v>2024</v>
      </c>
      <c r="J349">
        <v>4</v>
      </c>
    </row>
    <row r="350" spans="1:10" x14ac:dyDescent="0.3">
      <c r="A350">
        <v>606</v>
      </c>
      <c r="B350">
        <v>37</v>
      </c>
      <c r="C350">
        <v>4</v>
      </c>
      <c r="D350">
        <v>36</v>
      </c>
      <c r="E350">
        <v>144</v>
      </c>
      <c r="F350">
        <v>63</v>
      </c>
      <c r="G350" s="1">
        <v>45407</v>
      </c>
      <c r="H350" t="s">
        <v>11</v>
      </c>
      <c r="I350">
        <v>2024</v>
      </c>
      <c r="J350">
        <v>4</v>
      </c>
    </row>
    <row r="351" spans="1:10" x14ac:dyDescent="0.3">
      <c r="A351">
        <v>606</v>
      </c>
      <c r="B351">
        <v>28</v>
      </c>
      <c r="C351">
        <v>1</v>
      </c>
      <c r="D351">
        <v>112</v>
      </c>
      <c r="E351">
        <v>112</v>
      </c>
      <c r="F351">
        <v>63</v>
      </c>
      <c r="G351" s="1">
        <v>45407</v>
      </c>
      <c r="H351" t="s">
        <v>11</v>
      </c>
      <c r="I351">
        <v>2024</v>
      </c>
      <c r="J351">
        <v>4</v>
      </c>
    </row>
    <row r="352" spans="1:10" x14ac:dyDescent="0.3">
      <c r="A352">
        <v>606</v>
      </c>
      <c r="B352">
        <v>39</v>
      </c>
      <c r="C352">
        <v>2</v>
      </c>
      <c r="D352">
        <v>40</v>
      </c>
      <c r="E352">
        <v>80</v>
      </c>
      <c r="F352">
        <v>63</v>
      </c>
      <c r="G352" s="1">
        <v>45407</v>
      </c>
      <c r="H352" t="s">
        <v>11</v>
      </c>
      <c r="I352">
        <v>2024</v>
      </c>
      <c r="J352">
        <v>4</v>
      </c>
    </row>
    <row r="353" spans="1:10" x14ac:dyDescent="0.3">
      <c r="A353">
        <v>713</v>
      </c>
      <c r="B353">
        <v>17</v>
      </c>
      <c r="C353">
        <v>5</v>
      </c>
      <c r="D353">
        <v>82</v>
      </c>
      <c r="E353">
        <v>410</v>
      </c>
      <c r="F353">
        <v>214</v>
      </c>
      <c r="G353" s="1">
        <v>45309</v>
      </c>
      <c r="H353" t="s">
        <v>11</v>
      </c>
      <c r="I353">
        <v>2024</v>
      </c>
      <c r="J353">
        <v>1</v>
      </c>
    </row>
    <row r="354" spans="1:10" x14ac:dyDescent="0.3">
      <c r="A354">
        <v>713</v>
      </c>
      <c r="B354">
        <v>6</v>
      </c>
      <c r="C354">
        <v>2</v>
      </c>
      <c r="D354">
        <v>58</v>
      </c>
      <c r="E354">
        <v>116</v>
      </c>
      <c r="F354">
        <v>214</v>
      </c>
      <c r="G354" s="1">
        <v>45309</v>
      </c>
      <c r="H354" t="s">
        <v>11</v>
      </c>
      <c r="I354">
        <v>2024</v>
      </c>
      <c r="J354">
        <v>1</v>
      </c>
    </row>
    <row r="355" spans="1:10" x14ac:dyDescent="0.3">
      <c r="A355">
        <v>852</v>
      </c>
      <c r="B355">
        <v>32</v>
      </c>
      <c r="C355">
        <v>4</v>
      </c>
      <c r="D355">
        <v>106</v>
      </c>
      <c r="E355">
        <v>424</v>
      </c>
      <c r="F355">
        <v>229</v>
      </c>
      <c r="G355" s="1">
        <v>45344</v>
      </c>
      <c r="H355" t="s">
        <v>11</v>
      </c>
      <c r="I355">
        <v>2024</v>
      </c>
      <c r="J355">
        <v>2</v>
      </c>
    </row>
    <row r="356" spans="1:10" x14ac:dyDescent="0.3">
      <c r="A356">
        <v>852</v>
      </c>
      <c r="B356">
        <v>48</v>
      </c>
      <c r="C356">
        <v>1</v>
      </c>
      <c r="D356">
        <v>97</v>
      </c>
      <c r="E356">
        <v>97</v>
      </c>
      <c r="F356">
        <v>229</v>
      </c>
      <c r="G356" s="1">
        <v>45344</v>
      </c>
      <c r="H356" t="s">
        <v>11</v>
      </c>
      <c r="I356">
        <v>2024</v>
      </c>
      <c r="J356">
        <v>2</v>
      </c>
    </row>
    <row r="357" spans="1:10" x14ac:dyDescent="0.3">
      <c r="A357">
        <v>979</v>
      </c>
      <c r="B357">
        <v>29</v>
      </c>
      <c r="C357">
        <v>2</v>
      </c>
      <c r="D357">
        <v>74</v>
      </c>
      <c r="E357">
        <v>148</v>
      </c>
      <c r="F357">
        <v>177</v>
      </c>
      <c r="G357" s="1">
        <v>45511</v>
      </c>
      <c r="H357" t="s">
        <v>11</v>
      </c>
      <c r="I357">
        <v>2024</v>
      </c>
      <c r="J357">
        <v>8</v>
      </c>
    </row>
    <row r="358" spans="1:10" x14ac:dyDescent="0.3">
      <c r="A358">
        <v>723</v>
      </c>
      <c r="B358">
        <v>21</v>
      </c>
      <c r="C358">
        <v>4</v>
      </c>
      <c r="D358">
        <v>15</v>
      </c>
      <c r="E358">
        <v>60</v>
      </c>
      <c r="F358">
        <v>113</v>
      </c>
      <c r="G358" s="1">
        <v>45589</v>
      </c>
      <c r="H358" t="s">
        <v>11</v>
      </c>
      <c r="I358">
        <v>2024</v>
      </c>
      <c r="J358">
        <v>10</v>
      </c>
    </row>
    <row r="359" spans="1:10" x14ac:dyDescent="0.3">
      <c r="A359">
        <v>652</v>
      </c>
      <c r="B359">
        <v>21</v>
      </c>
      <c r="C359">
        <v>4</v>
      </c>
      <c r="D359">
        <v>27</v>
      </c>
      <c r="E359">
        <v>108</v>
      </c>
      <c r="F359">
        <v>192</v>
      </c>
      <c r="G359" s="1">
        <v>45592</v>
      </c>
      <c r="H359" t="s">
        <v>11</v>
      </c>
      <c r="I359">
        <v>2024</v>
      </c>
      <c r="J359">
        <v>10</v>
      </c>
    </row>
    <row r="360" spans="1:10" x14ac:dyDescent="0.3">
      <c r="A360">
        <v>652</v>
      </c>
      <c r="B360">
        <v>29</v>
      </c>
      <c r="C360">
        <v>4</v>
      </c>
      <c r="D360">
        <v>90</v>
      </c>
      <c r="E360">
        <v>360</v>
      </c>
      <c r="F360">
        <v>192</v>
      </c>
      <c r="G360" s="1">
        <v>45592</v>
      </c>
      <c r="H360" t="s">
        <v>11</v>
      </c>
      <c r="I360">
        <v>2024</v>
      </c>
      <c r="J360">
        <v>10</v>
      </c>
    </row>
    <row r="361" spans="1:10" x14ac:dyDescent="0.3">
      <c r="A361">
        <v>810</v>
      </c>
      <c r="B361">
        <v>23</v>
      </c>
      <c r="C361">
        <v>5</v>
      </c>
      <c r="D361">
        <v>101</v>
      </c>
      <c r="E361">
        <v>505</v>
      </c>
      <c r="F361">
        <v>300</v>
      </c>
      <c r="G361" s="1">
        <v>45330</v>
      </c>
      <c r="H361" t="s">
        <v>11</v>
      </c>
      <c r="I361">
        <v>2024</v>
      </c>
      <c r="J361">
        <v>2</v>
      </c>
    </row>
    <row r="362" spans="1:10" x14ac:dyDescent="0.3">
      <c r="A362">
        <v>810</v>
      </c>
      <c r="B362">
        <v>18</v>
      </c>
      <c r="C362">
        <v>3</v>
      </c>
      <c r="D362">
        <v>80</v>
      </c>
      <c r="E362">
        <v>240</v>
      </c>
      <c r="F362">
        <v>300</v>
      </c>
      <c r="G362" s="1">
        <v>45330</v>
      </c>
      <c r="H362" t="s">
        <v>11</v>
      </c>
      <c r="I362">
        <v>2024</v>
      </c>
      <c r="J362">
        <v>2</v>
      </c>
    </row>
    <row r="363" spans="1:10" x14ac:dyDescent="0.3">
      <c r="A363">
        <v>502</v>
      </c>
      <c r="B363">
        <v>50</v>
      </c>
      <c r="C363">
        <v>4</v>
      </c>
      <c r="D363">
        <v>74</v>
      </c>
      <c r="E363">
        <v>296</v>
      </c>
      <c r="F363">
        <v>253</v>
      </c>
      <c r="G363" s="1">
        <v>45390</v>
      </c>
      <c r="H363" t="s">
        <v>11</v>
      </c>
      <c r="I363">
        <v>2024</v>
      </c>
      <c r="J363">
        <v>4</v>
      </c>
    </row>
    <row r="364" spans="1:10" x14ac:dyDescent="0.3">
      <c r="A364">
        <v>502</v>
      </c>
      <c r="B364">
        <v>21</v>
      </c>
      <c r="C364">
        <v>1</v>
      </c>
      <c r="D364">
        <v>59</v>
      </c>
      <c r="E364">
        <v>59</v>
      </c>
      <c r="F364">
        <v>253</v>
      </c>
      <c r="G364" s="1">
        <v>45390</v>
      </c>
      <c r="H364" t="s">
        <v>11</v>
      </c>
      <c r="I364">
        <v>2024</v>
      </c>
      <c r="J364">
        <v>4</v>
      </c>
    </row>
    <row r="365" spans="1:10" x14ac:dyDescent="0.3">
      <c r="A365">
        <v>304</v>
      </c>
      <c r="B365">
        <v>38</v>
      </c>
      <c r="C365">
        <v>3</v>
      </c>
      <c r="D365">
        <v>86</v>
      </c>
      <c r="E365">
        <v>258</v>
      </c>
      <c r="F365">
        <v>273</v>
      </c>
      <c r="G365" s="1">
        <v>45364</v>
      </c>
      <c r="H365" t="s">
        <v>11</v>
      </c>
      <c r="I365">
        <v>2024</v>
      </c>
      <c r="J365">
        <v>3</v>
      </c>
    </row>
    <row r="366" spans="1:10" x14ac:dyDescent="0.3">
      <c r="A366">
        <v>304</v>
      </c>
      <c r="B366">
        <v>17</v>
      </c>
      <c r="C366">
        <v>3</v>
      </c>
      <c r="D366">
        <v>69</v>
      </c>
      <c r="E366">
        <v>207</v>
      </c>
      <c r="F366">
        <v>273</v>
      </c>
      <c r="G366" s="1">
        <v>45364</v>
      </c>
      <c r="H366" t="s">
        <v>11</v>
      </c>
      <c r="I366">
        <v>2024</v>
      </c>
      <c r="J366">
        <v>3</v>
      </c>
    </row>
    <row r="367" spans="1:10" x14ac:dyDescent="0.3">
      <c r="A367">
        <v>304</v>
      </c>
      <c r="B367">
        <v>5</v>
      </c>
      <c r="C367">
        <v>2</v>
      </c>
      <c r="D367">
        <v>91</v>
      </c>
      <c r="E367">
        <v>182</v>
      </c>
      <c r="F367">
        <v>273</v>
      </c>
      <c r="G367" s="1">
        <v>45364</v>
      </c>
      <c r="H367" t="s">
        <v>11</v>
      </c>
      <c r="I367">
        <v>2024</v>
      </c>
      <c r="J367">
        <v>3</v>
      </c>
    </row>
    <row r="368" spans="1:10" x14ac:dyDescent="0.3">
      <c r="A368">
        <v>871</v>
      </c>
      <c r="B368">
        <v>37</v>
      </c>
      <c r="C368">
        <v>5</v>
      </c>
      <c r="D368">
        <v>110</v>
      </c>
      <c r="E368">
        <v>550</v>
      </c>
      <c r="F368">
        <v>179</v>
      </c>
      <c r="G368" s="1">
        <v>45389</v>
      </c>
      <c r="H368" t="s">
        <v>11</v>
      </c>
      <c r="I368">
        <v>2024</v>
      </c>
      <c r="J368">
        <v>4</v>
      </c>
    </row>
    <row r="369" spans="1:10" x14ac:dyDescent="0.3">
      <c r="A369">
        <v>540</v>
      </c>
      <c r="B369">
        <v>45</v>
      </c>
      <c r="C369">
        <v>3</v>
      </c>
      <c r="D369">
        <v>93</v>
      </c>
      <c r="E369">
        <v>279</v>
      </c>
      <c r="F369">
        <v>117</v>
      </c>
      <c r="G369" s="1">
        <v>45384</v>
      </c>
      <c r="H369" t="s">
        <v>11</v>
      </c>
      <c r="I369">
        <v>2024</v>
      </c>
      <c r="J369">
        <v>4</v>
      </c>
    </row>
    <row r="370" spans="1:10" x14ac:dyDescent="0.3">
      <c r="A370">
        <v>540</v>
      </c>
      <c r="B370">
        <v>8</v>
      </c>
      <c r="C370">
        <v>2</v>
      </c>
      <c r="D370">
        <v>101</v>
      </c>
      <c r="E370">
        <v>202</v>
      </c>
      <c r="F370">
        <v>117</v>
      </c>
      <c r="G370" s="1">
        <v>45384</v>
      </c>
      <c r="H370" t="s">
        <v>11</v>
      </c>
      <c r="I370">
        <v>2024</v>
      </c>
      <c r="J370">
        <v>4</v>
      </c>
    </row>
    <row r="371" spans="1:10" x14ac:dyDescent="0.3">
      <c r="A371">
        <v>540</v>
      </c>
      <c r="B371">
        <v>1</v>
      </c>
      <c r="C371">
        <v>1</v>
      </c>
      <c r="D371">
        <v>52</v>
      </c>
      <c r="E371">
        <v>52</v>
      </c>
      <c r="F371">
        <v>117</v>
      </c>
      <c r="G371" s="1">
        <v>45384</v>
      </c>
      <c r="H371" t="s">
        <v>11</v>
      </c>
      <c r="I371">
        <v>2024</v>
      </c>
      <c r="J371">
        <v>4</v>
      </c>
    </row>
    <row r="372" spans="1:10" x14ac:dyDescent="0.3">
      <c r="A372">
        <v>540</v>
      </c>
      <c r="B372">
        <v>24</v>
      </c>
      <c r="C372">
        <v>1</v>
      </c>
      <c r="D372">
        <v>92</v>
      </c>
      <c r="E372">
        <v>92</v>
      </c>
      <c r="F372">
        <v>117</v>
      </c>
      <c r="G372" s="1">
        <v>45384</v>
      </c>
      <c r="H372" t="s">
        <v>11</v>
      </c>
      <c r="I372">
        <v>2024</v>
      </c>
      <c r="J372">
        <v>4</v>
      </c>
    </row>
    <row r="373" spans="1:10" x14ac:dyDescent="0.3">
      <c r="A373">
        <v>540</v>
      </c>
      <c r="B373">
        <v>19</v>
      </c>
      <c r="C373">
        <v>4</v>
      </c>
      <c r="D373">
        <v>112</v>
      </c>
      <c r="E373">
        <v>448</v>
      </c>
      <c r="F373">
        <v>117</v>
      </c>
      <c r="G373" s="1">
        <v>45384</v>
      </c>
      <c r="H373" t="s">
        <v>11</v>
      </c>
      <c r="I373">
        <v>2024</v>
      </c>
      <c r="J373">
        <v>4</v>
      </c>
    </row>
    <row r="374" spans="1:10" x14ac:dyDescent="0.3">
      <c r="A374">
        <v>540</v>
      </c>
      <c r="B374">
        <v>29</v>
      </c>
      <c r="C374">
        <v>2</v>
      </c>
      <c r="D374">
        <v>23</v>
      </c>
      <c r="E374">
        <v>46</v>
      </c>
      <c r="F374">
        <v>117</v>
      </c>
      <c r="G374" s="1">
        <v>45384</v>
      </c>
      <c r="H374" t="s">
        <v>11</v>
      </c>
      <c r="I374">
        <v>2024</v>
      </c>
      <c r="J374">
        <v>4</v>
      </c>
    </row>
    <row r="375" spans="1:10" x14ac:dyDescent="0.3">
      <c r="A375">
        <v>540</v>
      </c>
      <c r="B375">
        <v>45</v>
      </c>
      <c r="C375">
        <v>5</v>
      </c>
      <c r="D375">
        <v>17</v>
      </c>
      <c r="E375">
        <v>85</v>
      </c>
      <c r="F375">
        <v>117</v>
      </c>
      <c r="G375" s="1">
        <v>45384</v>
      </c>
      <c r="H375" t="s">
        <v>11</v>
      </c>
      <c r="I375">
        <v>2024</v>
      </c>
      <c r="J375">
        <v>4</v>
      </c>
    </row>
    <row r="376" spans="1:10" x14ac:dyDescent="0.3">
      <c r="A376">
        <v>553</v>
      </c>
      <c r="B376">
        <v>8</v>
      </c>
      <c r="C376">
        <v>5</v>
      </c>
      <c r="D376">
        <v>74</v>
      </c>
      <c r="E376">
        <v>370</v>
      </c>
      <c r="F376">
        <v>164</v>
      </c>
      <c r="G376" s="1">
        <v>45306</v>
      </c>
      <c r="H376" t="s">
        <v>11</v>
      </c>
      <c r="I376">
        <v>2024</v>
      </c>
      <c r="J376">
        <v>1</v>
      </c>
    </row>
    <row r="377" spans="1:10" x14ac:dyDescent="0.3">
      <c r="A377">
        <v>553</v>
      </c>
      <c r="B377">
        <v>10</v>
      </c>
      <c r="C377">
        <v>1</v>
      </c>
      <c r="D377">
        <v>104</v>
      </c>
      <c r="E377">
        <v>104</v>
      </c>
      <c r="F377">
        <v>164</v>
      </c>
      <c r="G377" s="1">
        <v>45306</v>
      </c>
      <c r="H377" t="s">
        <v>11</v>
      </c>
      <c r="I377">
        <v>2024</v>
      </c>
      <c r="J377">
        <v>1</v>
      </c>
    </row>
    <row r="378" spans="1:10" x14ac:dyDescent="0.3">
      <c r="A378">
        <v>553</v>
      </c>
      <c r="B378">
        <v>12</v>
      </c>
      <c r="C378">
        <v>4</v>
      </c>
      <c r="D378">
        <v>18</v>
      </c>
      <c r="E378">
        <v>72</v>
      </c>
      <c r="F378">
        <v>164</v>
      </c>
      <c r="G378" s="1">
        <v>45306</v>
      </c>
      <c r="H378" t="s">
        <v>11</v>
      </c>
      <c r="I378">
        <v>2024</v>
      </c>
      <c r="J378">
        <v>1</v>
      </c>
    </row>
    <row r="379" spans="1:10" x14ac:dyDescent="0.3">
      <c r="A379">
        <v>355</v>
      </c>
      <c r="B379">
        <v>41</v>
      </c>
      <c r="C379">
        <v>3</v>
      </c>
      <c r="D379">
        <v>61</v>
      </c>
      <c r="E379">
        <v>183</v>
      </c>
      <c r="F379">
        <v>58</v>
      </c>
      <c r="G379" s="1">
        <v>45294</v>
      </c>
      <c r="H379" t="s">
        <v>11</v>
      </c>
      <c r="I379">
        <v>2024</v>
      </c>
      <c r="J379">
        <v>1</v>
      </c>
    </row>
    <row r="380" spans="1:10" x14ac:dyDescent="0.3">
      <c r="A380">
        <v>355</v>
      </c>
      <c r="B380">
        <v>40</v>
      </c>
      <c r="C380">
        <v>4</v>
      </c>
      <c r="D380">
        <v>111</v>
      </c>
      <c r="E380">
        <v>444</v>
      </c>
      <c r="F380">
        <v>58</v>
      </c>
      <c r="G380" s="1">
        <v>45294</v>
      </c>
      <c r="H380" t="s">
        <v>11</v>
      </c>
      <c r="I380">
        <v>2024</v>
      </c>
      <c r="J380">
        <v>1</v>
      </c>
    </row>
    <row r="381" spans="1:10" x14ac:dyDescent="0.3">
      <c r="A381">
        <v>355</v>
      </c>
      <c r="B381">
        <v>15</v>
      </c>
      <c r="C381">
        <v>3</v>
      </c>
      <c r="D381">
        <v>26</v>
      </c>
      <c r="E381">
        <v>78</v>
      </c>
      <c r="F381">
        <v>58</v>
      </c>
      <c r="G381" s="1">
        <v>45294</v>
      </c>
      <c r="H381" t="s">
        <v>11</v>
      </c>
      <c r="I381">
        <v>2024</v>
      </c>
      <c r="J381">
        <v>1</v>
      </c>
    </row>
    <row r="382" spans="1:10" x14ac:dyDescent="0.3">
      <c r="A382">
        <v>355</v>
      </c>
      <c r="B382">
        <v>15</v>
      </c>
      <c r="C382">
        <v>1</v>
      </c>
      <c r="D382">
        <v>89</v>
      </c>
      <c r="E382">
        <v>89</v>
      </c>
      <c r="F382">
        <v>58</v>
      </c>
      <c r="G382" s="1">
        <v>45294</v>
      </c>
      <c r="H382" t="s">
        <v>11</v>
      </c>
      <c r="I382">
        <v>2024</v>
      </c>
      <c r="J382">
        <v>1</v>
      </c>
    </row>
    <row r="383" spans="1:10" x14ac:dyDescent="0.3">
      <c r="A383">
        <v>303</v>
      </c>
      <c r="B383">
        <v>49</v>
      </c>
      <c r="C383">
        <v>5</v>
      </c>
      <c r="D383">
        <v>76</v>
      </c>
      <c r="E383">
        <v>380</v>
      </c>
      <c r="F383">
        <v>155</v>
      </c>
      <c r="G383" s="1">
        <v>45484</v>
      </c>
      <c r="H383" t="s">
        <v>11</v>
      </c>
      <c r="I383">
        <v>2024</v>
      </c>
      <c r="J383">
        <v>7</v>
      </c>
    </row>
    <row r="384" spans="1:10" x14ac:dyDescent="0.3">
      <c r="A384">
        <v>303</v>
      </c>
      <c r="B384">
        <v>17</v>
      </c>
      <c r="C384">
        <v>2</v>
      </c>
      <c r="D384">
        <v>51</v>
      </c>
      <c r="E384">
        <v>102</v>
      </c>
      <c r="F384">
        <v>155</v>
      </c>
      <c r="G384" s="1">
        <v>45484</v>
      </c>
      <c r="H384" t="s">
        <v>11</v>
      </c>
      <c r="I384">
        <v>2024</v>
      </c>
      <c r="J384">
        <v>7</v>
      </c>
    </row>
    <row r="385" spans="1:10" x14ac:dyDescent="0.3">
      <c r="A385">
        <v>303</v>
      </c>
      <c r="B385">
        <v>42</v>
      </c>
      <c r="C385">
        <v>2</v>
      </c>
      <c r="D385">
        <v>24</v>
      </c>
      <c r="E385">
        <v>48</v>
      </c>
      <c r="F385">
        <v>155</v>
      </c>
      <c r="G385" s="1">
        <v>45484</v>
      </c>
      <c r="H385" t="s">
        <v>11</v>
      </c>
      <c r="I385">
        <v>2024</v>
      </c>
      <c r="J385">
        <v>7</v>
      </c>
    </row>
    <row r="386" spans="1:10" x14ac:dyDescent="0.3">
      <c r="A386">
        <v>496</v>
      </c>
      <c r="B386">
        <v>35</v>
      </c>
      <c r="C386">
        <v>3</v>
      </c>
      <c r="D386">
        <v>91</v>
      </c>
      <c r="E386">
        <v>273</v>
      </c>
      <c r="F386">
        <v>235</v>
      </c>
      <c r="G386" s="1">
        <v>45370</v>
      </c>
      <c r="H386" t="s">
        <v>11</v>
      </c>
      <c r="I386">
        <v>2024</v>
      </c>
      <c r="J386">
        <v>3</v>
      </c>
    </row>
    <row r="387" spans="1:10" x14ac:dyDescent="0.3">
      <c r="A387">
        <v>496</v>
      </c>
      <c r="B387">
        <v>46</v>
      </c>
      <c r="C387">
        <v>2</v>
      </c>
      <c r="D387">
        <v>35</v>
      </c>
      <c r="E387">
        <v>70</v>
      </c>
      <c r="F387">
        <v>235</v>
      </c>
      <c r="G387" s="1">
        <v>45370</v>
      </c>
      <c r="H387" t="s">
        <v>11</v>
      </c>
      <c r="I387">
        <v>2024</v>
      </c>
      <c r="J387">
        <v>3</v>
      </c>
    </row>
    <row r="388" spans="1:10" x14ac:dyDescent="0.3">
      <c r="A388">
        <v>658</v>
      </c>
      <c r="B388">
        <v>11</v>
      </c>
      <c r="C388">
        <v>3</v>
      </c>
      <c r="D388">
        <v>114</v>
      </c>
      <c r="E388">
        <v>342</v>
      </c>
      <c r="F388">
        <v>249</v>
      </c>
      <c r="G388" s="1">
        <v>45647</v>
      </c>
      <c r="H388" t="s">
        <v>11</v>
      </c>
      <c r="I388">
        <v>2024</v>
      </c>
      <c r="J388">
        <v>12</v>
      </c>
    </row>
    <row r="389" spans="1:10" x14ac:dyDescent="0.3">
      <c r="A389">
        <v>658</v>
      </c>
      <c r="B389">
        <v>48</v>
      </c>
      <c r="C389">
        <v>5</v>
      </c>
      <c r="D389">
        <v>45</v>
      </c>
      <c r="E389">
        <v>225</v>
      </c>
      <c r="F389">
        <v>249</v>
      </c>
      <c r="G389" s="1">
        <v>45647</v>
      </c>
      <c r="H389" t="s">
        <v>11</v>
      </c>
      <c r="I389">
        <v>2024</v>
      </c>
      <c r="J389">
        <v>12</v>
      </c>
    </row>
    <row r="390" spans="1:10" x14ac:dyDescent="0.3">
      <c r="A390">
        <v>658</v>
      </c>
      <c r="B390">
        <v>45</v>
      </c>
      <c r="C390">
        <v>5</v>
      </c>
      <c r="D390">
        <v>46</v>
      </c>
      <c r="E390">
        <v>230</v>
      </c>
      <c r="F390">
        <v>249</v>
      </c>
      <c r="G390" s="1">
        <v>45647</v>
      </c>
      <c r="H390" t="s">
        <v>11</v>
      </c>
      <c r="I390">
        <v>2024</v>
      </c>
      <c r="J390">
        <v>12</v>
      </c>
    </row>
    <row r="391" spans="1:10" x14ac:dyDescent="0.3">
      <c r="A391">
        <v>768</v>
      </c>
      <c r="B391">
        <v>24</v>
      </c>
      <c r="C391">
        <v>2</v>
      </c>
      <c r="D391">
        <v>87</v>
      </c>
      <c r="E391">
        <v>174</v>
      </c>
      <c r="F391">
        <v>111</v>
      </c>
      <c r="G391" s="1">
        <v>45575</v>
      </c>
      <c r="H391" t="s">
        <v>11</v>
      </c>
      <c r="I391">
        <v>2024</v>
      </c>
      <c r="J391">
        <v>10</v>
      </c>
    </row>
    <row r="392" spans="1:10" x14ac:dyDescent="0.3">
      <c r="A392">
        <v>768</v>
      </c>
      <c r="B392">
        <v>22</v>
      </c>
      <c r="C392">
        <v>5</v>
      </c>
      <c r="D392">
        <v>15</v>
      </c>
      <c r="E392">
        <v>75</v>
      </c>
      <c r="F392">
        <v>111</v>
      </c>
      <c r="G392" s="1">
        <v>45575</v>
      </c>
      <c r="H392" t="s">
        <v>11</v>
      </c>
      <c r="I392">
        <v>2024</v>
      </c>
      <c r="J392">
        <v>10</v>
      </c>
    </row>
    <row r="393" spans="1:10" x14ac:dyDescent="0.3">
      <c r="A393">
        <v>768</v>
      </c>
      <c r="B393">
        <v>14</v>
      </c>
      <c r="C393">
        <v>4</v>
      </c>
      <c r="D393">
        <v>62</v>
      </c>
      <c r="E393">
        <v>248</v>
      </c>
      <c r="F393">
        <v>111</v>
      </c>
      <c r="G393" s="1">
        <v>45575</v>
      </c>
      <c r="H393" t="s">
        <v>11</v>
      </c>
      <c r="I393">
        <v>2024</v>
      </c>
      <c r="J393">
        <v>10</v>
      </c>
    </row>
    <row r="394" spans="1:10" x14ac:dyDescent="0.3">
      <c r="A394">
        <v>227</v>
      </c>
      <c r="B394">
        <v>21</v>
      </c>
      <c r="C394">
        <v>5</v>
      </c>
      <c r="D394">
        <v>100</v>
      </c>
      <c r="E394">
        <v>500</v>
      </c>
      <c r="F394">
        <v>152</v>
      </c>
      <c r="G394" s="1">
        <v>45656</v>
      </c>
      <c r="H394" t="s">
        <v>11</v>
      </c>
      <c r="I394">
        <v>2024</v>
      </c>
      <c r="J394">
        <v>12</v>
      </c>
    </row>
    <row r="395" spans="1:10" x14ac:dyDescent="0.3">
      <c r="A395">
        <v>227</v>
      </c>
      <c r="B395">
        <v>47</v>
      </c>
      <c r="C395">
        <v>4</v>
      </c>
      <c r="D395">
        <v>95</v>
      </c>
      <c r="E395">
        <v>380</v>
      </c>
      <c r="F395">
        <v>152</v>
      </c>
      <c r="G395" s="1">
        <v>45656</v>
      </c>
      <c r="H395" t="s">
        <v>11</v>
      </c>
      <c r="I395">
        <v>2024</v>
      </c>
      <c r="J395">
        <v>12</v>
      </c>
    </row>
    <row r="396" spans="1:10" x14ac:dyDescent="0.3">
      <c r="A396">
        <v>227</v>
      </c>
      <c r="B396">
        <v>17</v>
      </c>
      <c r="C396">
        <v>2</v>
      </c>
      <c r="D396">
        <v>89</v>
      </c>
      <c r="E396">
        <v>178</v>
      </c>
      <c r="F396">
        <v>152</v>
      </c>
      <c r="G396" s="1">
        <v>45656</v>
      </c>
      <c r="H396" t="s">
        <v>11</v>
      </c>
      <c r="I396">
        <v>2024</v>
      </c>
      <c r="J396">
        <v>12</v>
      </c>
    </row>
    <row r="397" spans="1:10" x14ac:dyDescent="0.3">
      <c r="A397">
        <v>236</v>
      </c>
      <c r="B397">
        <v>2</v>
      </c>
      <c r="C397">
        <v>5</v>
      </c>
      <c r="D397">
        <v>26</v>
      </c>
      <c r="E397">
        <v>130</v>
      </c>
      <c r="F397">
        <v>227</v>
      </c>
      <c r="G397" s="1">
        <v>45541</v>
      </c>
      <c r="H397" t="s">
        <v>11</v>
      </c>
      <c r="I397">
        <v>2024</v>
      </c>
      <c r="J397">
        <v>9</v>
      </c>
    </row>
    <row r="398" spans="1:10" x14ac:dyDescent="0.3">
      <c r="A398">
        <v>236</v>
      </c>
      <c r="B398">
        <v>28</v>
      </c>
      <c r="C398">
        <v>1</v>
      </c>
      <c r="D398">
        <v>26</v>
      </c>
      <c r="E398">
        <v>26</v>
      </c>
      <c r="F398">
        <v>227</v>
      </c>
      <c r="G398" s="1">
        <v>45541</v>
      </c>
      <c r="H398" t="s">
        <v>11</v>
      </c>
      <c r="I398">
        <v>2024</v>
      </c>
      <c r="J398">
        <v>9</v>
      </c>
    </row>
    <row r="399" spans="1:10" x14ac:dyDescent="0.3">
      <c r="A399">
        <v>892</v>
      </c>
      <c r="B399">
        <v>19</v>
      </c>
      <c r="C399">
        <v>3</v>
      </c>
      <c r="D399">
        <v>119</v>
      </c>
      <c r="E399">
        <v>357</v>
      </c>
      <c r="F399">
        <v>157</v>
      </c>
      <c r="G399" s="1">
        <v>45384</v>
      </c>
      <c r="H399" t="s">
        <v>11</v>
      </c>
      <c r="I399">
        <v>2024</v>
      </c>
      <c r="J399">
        <v>4</v>
      </c>
    </row>
    <row r="400" spans="1:10" x14ac:dyDescent="0.3">
      <c r="A400">
        <v>210</v>
      </c>
      <c r="B400">
        <v>17</v>
      </c>
      <c r="C400">
        <v>2</v>
      </c>
      <c r="D400">
        <v>110</v>
      </c>
      <c r="E400">
        <v>220</v>
      </c>
      <c r="F400">
        <v>99</v>
      </c>
      <c r="G400" s="1">
        <v>45594</v>
      </c>
      <c r="H400" t="s">
        <v>11</v>
      </c>
      <c r="I400">
        <v>2024</v>
      </c>
      <c r="J400">
        <v>10</v>
      </c>
    </row>
    <row r="401" spans="1:10" x14ac:dyDescent="0.3">
      <c r="A401">
        <v>210</v>
      </c>
      <c r="B401">
        <v>20</v>
      </c>
      <c r="C401">
        <v>5</v>
      </c>
      <c r="D401">
        <v>85</v>
      </c>
      <c r="E401">
        <v>425</v>
      </c>
      <c r="F401">
        <v>99</v>
      </c>
      <c r="G401" s="1">
        <v>45594</v>
      </c>
      <c r="H401" t="s">
        <v>11</v>
      </c>
      <c r="I401">
        <v>2024</v>
      </c>
      <c r="J401">
        <v>10</v>
      </c>
    </row>
    <row r="402" spans="1:10" x14ac:dyDescent="0.3">
      <c r="A402">
        <v>210</v>
      </c>
      <c r="B402">
        <v>44</v>
      </c>
      <c r="C402">
        <v>2</v>
      </c>
      <c r="D402">
        <v>93</v>
      </c>
      <c r="E402">
        <v>186</v>
      </c>
      <c r="F402">
        <v>99</v>
      </c>
      <c r="G402" s="1">
        <v>45594</v>
      </c>
      <c r="H402" t="s">
        <v>11</v>
      </c>
      <c r="I402">
        <v>2024</v>
      </c>
      <c r="J402">
        <v>10</v>
      </c>
    </row>
    <row r="403" spans="1:10" x14ac:dyDescent="0.3">
      <c r="A403">
        <v>741</v>
      </c>
      <c r="B403">
        <v>6</v>
      </c>
      <c r="C403">
        <v>5</v>
      </c>
      <c r="D403">
        <v>35</v>
      </c>
      <c r="E403">
        <v>175</v>
      </c>
      <c r="F403">
        <v>239</v>
      </c>
      <c r="G403" s="1">
        <v>45319</v>
      </c>
      <c r="H403" t="s">
        <v>11</v>
      </c>
      <c r="I403">
        <v>2024</v>
      </c>
      <c r="J403">
        <v>1</v>
      </c>
    </row>
    <row r="404" spans="1:10" x14ac:dyDescent="0.3">
      <c r="A404">
        <v>898</v>
      </c>
      <c r="B404">
        <v>2</v>
      </c>
      <c r="C404">
        <v>2</v>
      </c>
      <c r="D404">
        <v>34</v>
      </c>
      <c r="E404">
        <v>68</v>
      </c>
      <c r="F404">
        <v>86</v>
      </c>
      <c r="G404" s="1">
        <v>45646</v>
      </c>
      <c r="H404" t="s">
        <v>11</v>
      </c>
      <c r="I404">
        <v>2024</v>
      </c>
      <c r="J404">
        <v>12</v>
      </c>
    </row>
    <row r="405" spans="1:10" x14ac:dyDescent="0.3">
      <c r="A405">
        <v>898</v>
      </c>
      <c r="B405">
        <v>19</v>
      </c>
      <c r="C405">
        <v>4</v>
      </c>
      <c r="D405">
        <v>82</v>
      </c>
      <c r="E405">
        <v>328</v>
      </c>
      <c r="F405">
        <v>86</v>
      </c>
      <c r="G405" s="1">
        <v>45646</v>
      </c>
      <c r="H405" t="s">
        <v>11</v>
      </c>
      <c r="I405">
        <v>2024</v>
      </c>
      <c r="J405">
        <v>12</v>
      </c>
    </row>
    <row r="406" spans="1:10" x14ac:dyDescent="0.3">
      <c r="A406">
        <v>528</v>
      </c>
      <c r="B406">
        <v>38</v>
      </c>
      <c r="C406">
        <v>5</v>
      </c>
      <c r="D406">
        <v>11</v>
      </c>
      <c r="E406">
        <v>55</v>
      </c>
      <c r="F406">
        <v>39</v>
      </c>
      <c r="G406" s="1">
        <v>45454</v>
      </c>
      <c r="H406" t="s">
        <v>11</v>
      </c>
      <c r="I406">
        <v>2024</v>
      </c>
      <c r="J406">
        <v>6</v>
      </c>
    </row>
    <row r="407" spans="1:10" x14ac:dyDescent="0.3">
      <c r="A407">
        <v>528</v>
      </c>
      <c r="B407">
        <v>35</v>
      </c>
      <c r="C407">
        <v>4</v>
      </c>
      <c r="D407">
        <v>21</v>
      </c>
      <c r="E407">
        <v>84</v>
      </c>
      <c r="F407">
        <v>39</v>
      </c>
      <c r="G407" s="1">
        <v>45454</v>
      </c>
      <c r="H407" t="s">
        <v>11</v>
      </c>
      <c r="I407">
        <v>2024</v>
      </c>
      <c r="J407">
        <v>6</v>
      </c>
    </row>
    <row r="408" spans="1:10" x14ac:dyDescent="0.3">
      <c r="A408">
        <v>528</v>
      </c>
      <c r="B408">
        <v>11</v>
      </c>
      <c r="C408">
        <v>4</v>
      </c>
      <c r="D408">
        <v>22</v>
      </c>
      <c r="E408">
        <v>88</v>
      </c>
      <c r="F408">
        <v>39</v>
      </c>
      <c r="G408" s="1">
        <v>45454</v>
      </c>
      <c r="H408" t="s">
        <v>11</v>
      </c>
      <c r="I408">
        <v>2024</v>
      </c>
      <c r="J408">
        <v>6</v>
      </c>
    </row>
    <row r="409" spans="1:10" x14ac:dyDescent="0.3">
      <c r="A409">
        <v>528</v>
      </c>
      <c r="B409">
        <v>31</v>
      </c>
      <c r="C409">
        <v>5</v>
      </c>
      <c r="D409">
        <v>19</v>
      </c>
      <c r="E409">
        <v>95</v>
      </c>
      <c r="F409">
        <v>39</v>
      </c>
      <c r="G409" s="1">
        <v>45454</v>
      </c>
      <c r="H409" t="s">
        <v>11</v>
      </c>
      <c r="I409">
        <v>2024</v>
      </c>
      <c r="J409">
        <v>6</v>
      </c>
    </row>
    <row r="410" spans="1:10" x14ac:dyDescent="0.3">
      <c r="A410">
        <v>528</v>
      </c>
      <c r="B410">
        <v>36</v>
      </c>
      <c r="C410">
        <v>2</v>
      </c>
      <c r="D410">
        <v>55</v>
      </c>
      <c r="E410">
        <v>110</v>
      </c>
      <c r="F410">
        <v>39</v>
      </c>
      <c r="G410" s="1">
        <v>45454</v>
      </c>
      <c r="H410" t="s">
        <v>11</v>
      </c>
      <c r="I410">
        <v>2024</v>
      </c>
      <c r="J410">
        <v>6</v>
      </c>
    </row>
    <row r="411" spans="1:10" x14ac:dyDescent="0.3">
      <c r="A411">
        <v>649</v>
      </c>
      <c r="B411">
        <v>37</v>
      </c>
      <c r="C411">
        <v>3</v>
      </c>
      <c r="D411">
        <v>95</v>
      </c>
      <c r="E411">
        <v>285</v>
      </c>
      <c r="F411">
        <v>66</v>
      </c>
      <c r="G411" s="1">
        <v>45378</v>
      </c>
      <c r="H411" t="s">
        <v>11</v>
      </c>
      <c r="I411">
        <v>2024</v>
      </c>
      <c r="J411">
        <v>3</v>
      </c>
    </row>
    <row r="412" spans="1:10" x14ac:dyDescent="0.3">
      <c r="A412">
        <v>649</v>
      </c>
      <c r="B412">
        <v>30</v>
      </c>
      <c r="C412">
        <v>5</v>
      </c>
      <c r="D412">
        <v>52</v>
      </c>
      <c r="E412">
        <v>260</v>
      </c>
      <c r="F412">
        <v>66</v>
      </c>
      <c r="G412" s="1">
        <v>45378</v>
      </c>
      <c r="H412" t="s">
        <v>11</v>
      </c>
      <c r="I412">
        <v>2024</v>
      </c>
      <c r="J412">
        <v>3</v>
      </c>
    </row>
    <row r="413" spans="1:10" x14ac:dyDescent="0.3">
      <c r="A413">
        <v>329</v>
      </c>
      <c r="B413">
        <v>4</v>
      </c>
      <c r="C413">
        <v>2</v>
      </c>
      <c r="D413">
        <v>14</v>
      </c>
      <c r="E413">
        <v>28</v>
      </c>
      <c r="F413">
        <v>150</v>
      </c>
      <c r="G413" s="1">
        <v>45601</v>
      </c>
      <c r="H413" t="s">
        <v>11</v>
      </c>
      <c r="I413">
        <v>2024</v>
      </c>
      <c r="J413">
        <v>11</v>
      </c>
    </row>
    <row r="414" spans="1:10" x14ac:dyDescent="0.3">
      <c r="A414">
        <v>166</v>
      </c>
      <c r="B414">
        <v>22</v>
      </c>
      <c r="C414">
        <v>4</v>
      </c>
      <c r="D414">
        <v>13</v>
      </c>
      <c r="E414">
        <v>52</v>
      </c>
      <c r="F414">
        <v>113</v>
      </c>
      <c r="G414" s="1">
        <v>45346</v>
      </c>
      <c r="H414" t="s">
        <v>11</v>
      </c>
      <c r="I414">
        <v>2024</v>
      </c>
      <c r="J414">
        <v>2</v>
      </c>
    </row>
    <row r="415" spans="1:10" x14ac:dyDescent="0.3">
      <c r="A415">
        <v>166</v>
      </c>
      <c r="B415">
        <v>26</v>
      </c>
      <c r="C415">
        <v>5</v>
      </c>
      <c r="D415">
        <v>29</v>
      </c>
      <c r="E415">
        <v>145</v>
      </c>
      <c r="F415">
        <v>113</v>
      </c>
      <c r="G415" s="1">
        <v>45346</v>
      </c>
      <c r="H415" t="s">
        <v>11</v>
      </c>
      <c r="I415">
        <v>2024</v>
      </c>
      <c r="J415">
        <v>2</v>
      </c>
    </row>
    <row r="416" spans="1:10" x14ac:dyDescent="0.3">
      <c r="A416">
        <v>166</v>
      </c>
      <c r="B416">
        <v>46</v>
      </c>
      <c r="C416">
        <v>2</v>
      </c>
      <c r="D416">
        <v>25</v>
      </c>
      <c r="E416">
        <v>50</v>
      </c>
      <c r="F416">
        <v>113</v>
      </c>
      <c r="G416" s="1">
        <v>45346</v>
      </c>
      <c r="H416" t="s">
        <v>11</v>
      </c>
      <c r="I416">
        <v>2024</v>
      </c>
      <c r="J416">
        <v>2</v>
      </c>
    </row>
    <row r="417" spans="1:10" x14ac:dyDescent="0.3">
      <c r="A417">
        <v>166</v>
      </c>
      <c r="B417">
        <v>47</v>
      </c>
      <c r="C417">
        <v>4</v>
      </c>
      <c r="D417">
        <v>53</v>
      </c>
      <c r="E417">
        <v>212</v>
      </c>
      <c r="F417">
        <v>113</v>
      </c>
      <c r="G417" s="1">
        <v>45346</v>
      </c>
      <c r="H417" t="s">
        <v>11</v>
      </c>
      <c r="I417">
        <v>2024</v>
      </c>
      <c r="J417">
        <v>2</v>
      </c>
    </row>
    <row r="418" spans="1:10" x14ac:dyDescent="0.3">
      <c r="A418">
        <v>166</v>
      </c>
      <c r="B418">
        <v>42</v>
      </c>
      <c r="C418">
        <v>4</v>
      </c>
      <c r="D418">
        <v>96</v>
      </c>
      <c r="E418">
        <v>384</v>
      </c>
      <c r="F418">
        <v>113</v>
      </c>
      <c r="G418" s="1">
        <v>45346</v>
      </c>
      <c r="H418" t="s">
        <v>11</v>
      </c>
      <c r="I418">
        <v>2024</v>
      </c>
      <c r="J418">
        <v>2</v>
      </c>
    </row>
    <row r="419" spans="1:10" x14ac:dyDescent="0.3">
      <c r="A419">
        <v>166</v>
      </c>
      <c r="B419">
        <v>6</v>
      </c>
      <c r="C419">
        <v>1</v>
      </c>
      <c r="D419">
        <v>108</v>
      </c>
      <c r="E419">
        <v>108</v>
      </c>
      <c r="F419">
        <v>113</v>
      </c>
      <c r="G419" s="1">
        <v>45346</v>
      </c>
      <c r="H419" t="s">
        <v>11</v>
      </c>
      <c r="I419">
        <v>2024</v>
      </c>
      <c r="J419">
        <v>2</v>
      </c>
    </row>
    <row r="420" spans="1:10" x14ac:dyDescent="0.3">
      <c r="A420">
        <v>459</v>
      </c>
      <c r="B420">
        <v>26</v>
      </c>
      <c r="C420">
        <v>4</v>
      </c>
      <c r="D420">
        <v>45</v>
      </c>
      <c r="E420">
        <v>180</v>
      </c>
      <c r="F420">
        <v>279</v>
      </c>
      <c r="G420" s="1">
        <v>45656</v>
      </c>
      <c r="H420" t="s">
        <v>11</v>
      </c>
      <c r="I420">
        <v>2024</v>
      </c>
      <c r="J420">
        <v>12</v>
      </c>
    </row>
    <row r="421" spans="1:10" x14ac:dyDescent="0.3">
      <c r="A421">
        <v>459</v>
      </c>
      <c r="B421">
        <v>6</v>
      </c>
      <c r="C421">
        <v>3</v>
      </c>
      <c r="D421">
        <v>74</v>
      </c>
      <c r="E421">
        <v>222</v>
      </c>
      <c r="F421">
        <v>279</v>
      </c>
      <c r="G421" s="1">
        <v>45656</v>
      </c>
      <c r="H421" t="s">
        <v>11</v>
      </c>
      <c r="I421">
        <v>2024</v>
      </c>
      <c r="J421">
        <v>12</v>
      </c>
    </row>
    <row r="422" spans="1:10" x14ac:dyDescent="0.3">
      <c r="A422">
        <v>459</v>
      </c>
      <c r="B422">
        <v>33</v>
      </c>
      <c r="C422">
        <v>1</v>
      </c>
      <c r="D422">
        <v>64</v>
      </c>
      <c r="E422">
        <v>64</v>
      </c>
      <c r="F422">
        <v>279</v>
      </c>
      <c r="G422" s="1">
        <v>45656</v>
      </c>
      <c r="H422" t="s">
        <v>11</v>
      </c>
      <c r="I422">
        <v>2024</v>
      </c>
      <c r="J422">
        <v>12</v>
      </c>
    </row>
    <row r="423" spans="1:10" x14ac:dyDescent="0.3">
      <c r="A423">
        <v>822</v>
      </c>
      <c r="B423">
        <v>49</v>
      </c>
      <c r="C423">
        <v>2</v>
      </c>
      <c r="D423">
        <v>15</v>
      </c>
      <c r="E423">
        <v>30</v>
      </c>
      <c r="F423">
        <v>142</v>
      </c>
      <c r="G423" s="1">
        <v>45299</v>
      </c>
      <c r="H423" t="s">
        <v>11</v>
      </c>
      <c r="I423">
        <v>2024</v>
      </c>
      <c r="J423">
        <v>1</v>
      </c>
    </row>
    <row r="424" spans="1:10" x14ac:dyDescent="0.3">
      <c r="A424">
        <v>822</v>
      </c>
      <c r="B424">
        <v>16</v>
      </c>
      <c r="C424">
        <v>1</v>
      </c>
      <c r="D424">
        <v>97</v>
      </c>
      <c r="E424">
        <v>97</v>
      </c>
      <c r="F424">
        <v>142</v>
      </c>
      <c r="G424" s="1">
        <v>45299</v>
      </c>
      <c r="H424" t="s">
        <v>11</v>
      </c>
      <c r="I424">
        <v>2024</v>
      </c>
      <c r="J424">
        <v>1</v>
      </c>
    </row>
    <row r="425" spans="1:10" x14ac:dyDescent="0.3">
      <c r="A425">
        <v>822</v>
      </c>
      <c r="B425">
        <v>20</v>
      </c>
      <c r="C425">
        <v>2</v>
      </c>
      <c r="D425">
        <v>55</v>
      </c>
      <c r="E425">
        <v>110</v>
      </c>
      <c r="F425">
        <v>142</v>
      </c>
      <c r="G425" s="1">
        <v>45299</v>
      </c>
      <c r="H425" t="s">
        <v>11</v>
      </c>
      <c r="I425">
        <v>2024</v>
      </c>
      <c r="J425">
        <v>1</v>
      </c>
    </row>
    <row r="426" spans="1:10" x14ac:dyDescent="0.3">
      <c r="A426">
        <v>822</v>
      </c>
      <c r="B426">
        <v>34</v>
      </c>
      <c r="C426">
        <v>5</v>
      </c>
      <c r="D426">
        <v>39</v>
      </c>
      <c r="E426">
        <v>195</v>
      </c>
      <c r="F426">
        <v>142</v>
      </c>
      <c r="G426" s="1">
        <v>45299</v>
      </c>
      <c r="H426" t="s">
        <v>11</v>
      </c>
      <c r="I426">
        <v>2024</v>
      </c>
      <c r="J426">
        <v>1</v>
      </c>
    </row>
    <row r="427" spans="1:10" x14ac:dyDescent="0.3">
      <c r="A427">
        <v>822</v>
      </c>
      <c r="B427">
        <v>32</v>
      </c>
      <c r="C427">
        <v>2</v>
      </c>
      <c r="D427">
        <v>116</v>
      </c>
      <c r="E427">
        <v>232</v>
      </c>
      <c r="F427">
        <v>142</v>
      </c>
      <c r="G427" s="1">
        <v>45299</v>
      </c>
      <c r="H427" t="s">
        <v>11</v>
      </c>
      <c r="I427">
        <v>2024</v>
      </c>
      <c r="J427">
        <v>1</v>
      </c>
    </row>
    <row r="428" spans="1:10" x14ac:dyDescent="0.3">
      <c r="A428">
        <v>952</v>
      </c>
      <c r="B428">
        <v>43</v>
      </c>
      <c r="C428">
        <v>1</v>
      </c>
      <c r="D428">
        <v>30</v>
      </c>
      <c r="E428">
        <v>30</v>
      </c>
      <c r="F428">
        <v>110</v>
      </c>
      <c r="G428" s="1">
        <v>45368</v>
      </c>
      <c r="H428" t="s">
        <v>11</v>
      </c>
      <c r="I428">
        <v>2024</v>
      </c>
      <c r="J428">
        <v>3</v>
      </c>
    </row>
    <row r="429" spans="1:10" x14ac:dyDescent="0.3">
      <c r="A429">
        <v>952</v>
      </c>
      <c r="B429">
        <v>46</v>
      </c>
      <c r="C429">
        <v>2</v>
      </c>
      <c r="D429">
        <v>75</v>
      </c>
      <c r="E429">
        <v>150</v>
      </c>
      <c r="F429">
        <v>110</v>
      </c>
      <c r="G429" s="1">
        <v>45368</v>
      </c>
      <c r="H429" t="s">
        <v>11</v>
      </c>
      <c r="I429">
        <v>2024</v>
      </c>
      <c r="J429">
        <v>3</v>
      </c>
    </row>
    <row r="430" spans="1:10" x14ac:dyDescent="0.3">
      <c r="A430">
        <v>952</v>
      </c>
      <c r="B430">
        <v>26</v>
      </c>
      <c r="C430">
        <v>5</v>
      </c>
      <c r="D430">
        <v>63</v>
      </c>
      <c r="E430">
        <v>315</v>
      </c>
      <c r="F430">
        <v>110</v>
      </c>
      <c r="G430" s="1">
        <v>45368</v>
      </c>
      <c r="H430" t="s">
        <v>11</v>
      </c>
      <c r="I430">
        <v>2024</v>
      </c>
      <c r="J430">
        <v>3</v>
      </c>
    </row>
    <row r="431" spans="1:10" x14ac:dyDescent="0.3">
      <c r="A431">
        <v>982</v>
      </c>
      <c r="B431">
        <v>36</v>
      </c>
      <c r="C431">
        <v>2</v>
      </c>
      <c r="D431">
        <v>86</v>
      </c>
      <c r="E431">
        <v>172</v>
      </c>
      <c r="F431">
        <v>150</v>
      </c>
      <c r="G431" s="1">
        <v>45562</v>
      </c>
      <c r="H431" t="s">
        <v>11</v>
      </c>
      <c r="I431">
        <v>2024</v>
      </c>
      <c r="J431">
        <v>9</v>
      </c>
    </row>
    <row r="432" spans="1:10" x14ac:dyDescent="0.3">
      <c r="A432">
        <v>982</v>
      </c>
      <c r="B432">
        <v>3</v>
      </c>
      <c r="C432">
        <v>5</v>
      </c>
      <c r="D432">
        <v>57</v>
      </c>
      <c r="E432">
        <v>285</v>
      </c>
      <c r="F432">
        <v>150</v>
      </c>
      <c r="G432" s="1">
        <v>45562</v>
      </c>
      <c r="H432" t="s">
        <v>11</v>
      </c>
      <c r="I432">
        <v>2024</v>
      </c>
      <c r="J432">
        <v>9</v>
      </c>
    </row>
    <row r="433" spans="1:10" x14ac:dyDescent="0.3">
      <c r="A433">
        <v>993</v>
      </c>
      <c r="B433">
        <v>13</v>
      </c>
      <c r="C433">
        <v>2</v>
      </c>
      <c r="D433">
        <v>110</v>
      </c>
      <c r="E433">
        <v>220</v>
      </c>
      <c r="F433">
        <v>257</v>
      </c>
      <c r="G433" s="1">
        <v>45584</v>
      </c>
      <c r="H433" t="s">
        <v>11</v>
      </c>
      <c r="I433">
        <v>2024</v>
      </c>
      <c r="J433">
        <v>10</v>
      </c>
    </row>
    <row r="434" spans="1:10" x14ac:dyDescent="0.3">
      <c r="A434">
        <v>993</v>
      </c>
      <c r="B434">
        <v>36</v>
      </c>
      <c r="C434">
        <v>1</v>
      </c>
      <c r="D434">
        <v>86</v>
      </c>
      <c r="E434">
        <v>86</v>
      </c>
      <c r="F434">
        <v>257</v>
      </c>
      <c r="G434" s="1">
        <v>45584</v>
      </c>
      <c r="H434" t="s">
        <v>11</v>
      </c>
      <c r="I434">
        <v>2024</v>
      </c>
      <c r="J434">
        <v>10</v>
      </c>
    </row>
    <row r="435" spans="1:10" x14ac:dyDescent="0.3">
      <c r="A435">
        <v>993</v>
      </c>
      <c r="B435">
        <v>23</v>
      </c>
      <c r="C435">
        <v>4</v>
      </c>
      <c r="D435">
        <v>58</v>
      </c>
      <c r="E435">
        <v>232</v>
      </c>
      <c r="F435">
        <v>257</v>
      </c>
      <c r="G435" s="1">
        <v>45584</v>
      </c>
      <c r="H435" t="s">
        <v>11</v>
      </c>
      <c r="I435">
        <v>2024</v>
      </c>
      <c r="J435">
        <v>10</v>
      </c>
    </row>
    <row r="436" spans="1:10" x14ac:dyDescent="0.3">
      <c r="A436">
        <v>993</v>
      </c>
      <c r="B436">
        <v>20</v>
      </c>
      <c r="C436">
        <v>4</v>
      </c>
      <c r="D436">
        <v>28</v>
      </c>
      <c r="E436">
        <v>112</v>
      </c>
      <c r="F436">
        <v>257</v>
      </c>
      <c r="G436" s="1">
        <v>45584</v>
      </c>
      <c r="H436" t="s">
        <v>11</v>
      </c>
      <c r="I436">
        <v>2024</v>
      </c>
      <c r="J436">
        <v>10</v>
      </c>
    </row>
    <row r="437" spans="1:10" x14ac:dyDescent="0.3">
      <c r="A437">
        <v>855</v>
      </c>
      <c r="B437">
        <v>41</v>
      </c>
      <c r="C437">
        <v>3</v>
      </c>
      <c r="D437">
        <v>64</v>
      </c>
      <c r="E437">
        <v>192</v>
      </c>
      <c r="F437">
        <v>291</v>
      </c>
      <c r="G437" s="1">
        <v>45652</v>
      </c>
      <c r="H437" t="s">
        <v>11</v>
      </c>
      <c r="I437">
        <v>2024</v>
      </c>
      <c r="J437">
        <v>12</v>
      </c>
    </row>
    <row r="438" spans="1:10" x14ac:dyDescent="0.3">
      <c r="A438">
        <v>855</v>
      </c>
      <c r="B438">
        <v>49</v>
      </c>
      <c r="C438">
        <v>5</v>
      </c>
      <c r="D438">
        <v>19</v>
      </c>
      <c r="E438">
        <v>95</v>
      </c>
      <c r="F438">
        <v>291</v>
      </c>
      <c r="G438" s="1">
        <v>45652</v>
      </c>
      <c r="H438" t="s">
        <v>11</v>
      </c>
      <c r="I438">
        <v>2024</v>
      </c>
      <c r="J438">
        <v>12</v>
      </c>
    </row>
    <row r="439" spans="1:10" x14ac:dyDescent="0.3">
      <c r="A439">
        <v>855</v>
      </c>
      <c r="B439">
        <v>44</v>
      </c>
      <c r="C439">
        <v>1</v>
      </c>
      <c r="D439">
        <v>42</v>
      </c>
      <c r="E439">
        <v>42</v>
      </c>
      <c r="F439">
        <v>291</v>
      </c>
      <c r="G439" s="1">
        <v>45652</v>
      </c>
      <c r="H439" t="s">
        <v>11</v>
      </c>
      <c r="I439">
        <v>2024</v>
      </c>
      <c r="J439">
        <v>12</v>
      </c>
    </row>
    <row r="440" spans="1:10" x14ac:dyDescent="0.3">
      <c r="A440">
        <v>173</v>
      </c>
      <c r="B440">
        <v>36</v>
      </c>
      <c r="C440">
        <v>3</v>
      </c>
      <c r="D440">
        <v>48</v>
      </c>
      <c r="E440">
        <v>144</v>
      </c>
      <c r="F440">
        <v>54</v>
      </c>
      <c r="G440" s="1">
        <v>45541</v>
      </c>
      <c r="H440" t="s">
        <v>11</v>
      </c>
      <c r="I440">
        <v>2024</v>
      </c>
      <c r="J440">
        <v>9</v>
      </c>
    </row>
    <row r="441" spans="1:10" x14ac:dyDescent="0.3">
      <c r="A441">
        <v>173</v>
      </c>
      <c r="B441">
        <v>18</v>
      </c>
      <c r="C441">
        <v>1</v>
      </c>
      <c r="D441">
        <v>60</v>
      </c>
      <c r="E441">
        <v>60</v>
      </c>
      <c r="F441">
        <v>54</v>
      </c>
      <c r="G441" s="1">
        <v>45541</v>
      </c>
      <c r="H441" t="s">
        <v>11</v>
      </c>
      <c r="I441">
        <v>2024</v>
      </c>
      <c r="J441">
        <v>9</v>
      </c>
    </row>
    <row r="442" spans="1:10" x14ac:dyDescent="0.3">
      <c r="A442">
        <v>905</v>
      </c>
      <c r="B442">
        <v>35</v>
      </c>
      <c r="C442">
        <v>4</v>
      </c>
      <c r="D442">
        <v>23</v>
      </c>
      <c r="E442">
        <v>92</v>
      </c>
      <c r="F442">
        <v>228</v>
      </c>
      <c r="G442" s="1">
        <v>45619</v>
      </c>
      <c r="H442" t="s">
        <v>11</v>
      </c>
      <c r="I442">
        <v>2024</v>
      </c>
      <c r="J442">
        <v>11</v>
      </c>
    </row>
    <row r="443" spans="1:10" x14ac:dyDescent="0.3">
      <c r="A443">
        <v>905</v>
      </c>
      <c r="B443">
        <v>44</v>
      </c>
      <c r="C443">
        <v>4</v>
      </c>
      <c r="D443">
        <v>119</v>
      </c>
      <c r="E443">
        <v>476</v>
      </c>
      <c r="F443">
        <v>228</v>
      </c>
      <c r="G443" s="1">
        <v>45619</v>
      </c>
      <c r="H443" t="s">
        <v>11</v>
      </c>
      <c r="I443">
        <v>2024</v>
      </c>
      <c r="J443">
        <v>11</v>
      </c>
    </row>
    <row r="444" spans="1:10" x14ac:dyDescent="0.3">
      <c r="A444">
        <v>728</v>
      </c>
      <c r="B444">
        <v>46</v>
      </c>
      <c r="C444">
        <v>2</v>
      </c>
      <c r="D444">
        <v>65</v>
      </c>
      <c r="E444">
        <v>130</v>
      </c>
      <c r="F444">
        <v>56</v>
      </c>
      <c r="G444" s="1">
        <v>45616</v>
      </c>
      <c r="H444" t="s">
        <v>11</v>
      </c>
      <c r="I444">
        <v>2024</v>
      </c>
      <c r="J444">
        <v>11</v>
      </c>
    </row>
    <row r="445" spans="1:10" x14ac:dyDescent="0.3">
      <c r="A445">
        <v>728</v>
      </c>
      <c r="B445">
        <v>22</v>
      </c>
      <c r="C445">
        <v>2</v>
      </c>
      <c r="D445">
        <v>73</v>
      </c>
      <c r="E445">
        <v>146</v>
      </c>
      <c r="F445">
        <v>56</v>
      </c>
      <c r="G445" s="1">
        <v>45616</v>
      </c>
      <c r="H445" t="s">
        <v>11</v>
      </c>
      <c r="I445">
        <v>2024</v>
      </c>
      <c r="J445">
        <v>11</v>
      </c>
    </row>
    <row r="446" spans="1:10" x14ac:dyDescent="0.3">
      <c r="A446">
        <v>728</v>
      </c>
      <c r="B446">
        <v>24</v>
      </c>
      <c r="C446">
        <v>4</v>
      </c>
      <c r="D446">
        <v>20</v>
      </c>
      <c r="E446">
        <v>80</v>
      </c>
      <c r="F446">
        <v>56</v>
      </c>
      <c r="G446" s="1">
        <v>45616</v>
      </c>
      <c r="H446" t="s">
        <v>11</v>
      </c>
      <c r="I446">
        <v>2024</v>
      </c>
      <c r="J446">
        <v>11</v>
      </c>
    </row>
    <row r="447" spans="1:10" x14ac:dyDescent="0.3">
      <c r="A447">
        <v>728</v>
      </c>
      <c r="B447">
        <v>21</v>
      </c>
      <c r="C447">
        <v>5</v>
      </c>
      <c r="D447">
        <v>18</v>
      </c>
      <c r="E447">
        <v>90</v>
      </c>
      <c r="F447">
        <v>56</v>
      </c>
      <c r="G447" s="1">
        <v>45616</v>
      </c>
      <c r="H447" t="s">
        <v>11</v>
      </c>
      <c r="I447">
        <v>2024</v>
      </c>
      <c r="J447">
        <v>11</v>
      </c>
    </row>
    <row r="448" spans="1:10" x14ac:dyDescent="0.3">
      <c r="A448">
        <v>263</v>
      </c>
      <c r="B448">
        <v>28</v>
      </c>
      <c r="C448">
        <v>2</v>
      </c>
      <c r="D448">
        <v>90</v>
      </c>
      <c r="E448">
        <v>180</v>
      </c>
      <c r="F448">
        <v>277</v>
      </c>
      <c r="G448" s="1">
        <v>45306</v>
      </c>
      <c r="H448" t="s">
        <v>11</v>
      </c>
      <c r="I448">
        <v>2024</v>
      </c>
      <c r="J448">
        <v>1</v>
      </c>
    </row>
    <row r="449" spans="1:10" x14ac:dyDescent="0.3">
      <c r="A449">
        <v>804</v>
      </c>
      <c r="B449">
        <v>1</v>
      </c>
      <c r="C449">
        <v>2</v>
      </c>
      <c r="D449">
        <v>30</v>
      </c>
      <c r="E449">
        <v>60</v>
      </c>
      <c r="F449">
        <v>94</v>
      </c>
      <c r="G449" s="1">
        <v>45590</v>
      </c>
      <c r="H449" t="s">
        <v>11</v>
      </c>
      <c r="I449">
        <v>2024</v>
      </c>
      <c r="J449">
        <v>10</v>
      </c>
    </row>
    <row r="450" spans="1:10" x14ac:dyDescent="0.3">
      <c r="A450">
        <v>804</v>
      </c>
      <c r="B450">
        <v>16</v>
      </c>
      <c r="C450">
        <v>3</v>
      </c>
      <c r="D450">
        <v>26</v>
      </c>
      <c r="E450">
        <v>78</v>
      </c>
      <c r="F450">
        <v>94</v>
      </c>
      <c r="G450" s="1">
        <v>45590</v>
      </c>
      <c r="H450" t="s">
        <v>11</v>
      </c>
      <c r="I450">
        <v>2024</v>
      </c>
      <c r="J450">
        <v>10</v>
      </c>
    </row>
    <row r="451" spans="1:10" x14ac:dyDescent="0.3">
      <c r="A451">
        <v>804</v>
      </c>
      <c r="B451">
        <v>31</v>
      </c>
      <c r="C451">
        <v>1</v>
      </c>
      <c r="D451">
        <v>67</v>
      </c>
      <c r="E451">
        <v>67</v>
      </c>
      <c r="F451">
        <v>94</v>
      </c>
      <c r="G451" s="1">
        <v>45590</v>
      </c>
      <c r="H451" t="s">
        <v>11</v>
      </c>
      <c r="I451">
        <v>2024</v>
      </c>
      <c r="J451">
        <v>10</v>
      </c>
    </row>
    <row r="452" spans="1:10" x14ac:dyDescent="0.3">
      <c r="A452">
        <v>804</v>
      </c>
      <c r="B452">
        <v>13</v>
      </c>
      <c r="C452">
        <v>1</v>
      </c>
      <c r="D452">
        <v>72</v>
      </c>
      <c r="E452">
        <v>72</v>
      </c>
      <c r="F452">
        <v>94</v>
      </c>
      <c r="G452" s="1">
        <v>45590</v>
      </c>
      <c r="H452" t="s">
        <v>11</v>
      </c>
      <c r="I452">
        <v>2024</v>
      </c>
      <c r="J452">
        <v>10</v>
      </c>
    </row>
    <row r="453" spans="1:10" x14ac:dyDescent="0.3">
      <c r="A453">
        <v>274</v>
      </c>
      <c r="B453">
        <v>42</v>
      </c>
      <c r="C453">
        <v>5</v>
      </c>
      <c r="D453">
        <v>55</v>
      </c>
      <c r="E453">
        <v>275</v>
      </c>
      <c r="F453">
        <v>220</v>
      </c>
      <c r="G453" s="1">
        <v>45542</v>
      </c>
      <c r="H453" t="s">
        <v>11</v>
      </c>
      <c r="I453">
        <v>2024</v>
      </c>
      <c r="J453">
        <v>9</v>
      </c>
    </row>
    <row r="454" spans="1:10" x14ac:dyDescent="0.3">
      <c r="A454">
        <v>274</v>
      </c>
      <c r="B454">
        <v>9</v>
      </c>
      <c r="C454">
        <v>2</v>
      </c>
      <c r="D454">
        <v>15</v>
      </c>
      <c r="E454">
        <v>30</v>
      </c>
      <c r="F454">
        <v>220</v>
      </c>
      <c r="G454" s="1">
        <v>45542</v>
      </c>
      <c r="H454" t="s">
        <v>11</v>
      </c>
      <c r="I454">
        <v>2024</v>
      </c>
      <c r="J454">
        <v>9</v>
      </c>
    </row>
    <row r="455" spans="1:10" x14ac:dyDescent="0.3">
      <c r="A455">
        <v>274</v>
      </c>
      <c r="B455">
        <v>34</v>
      </c>
      <c r="C455">
        <v>5</v>
      </c>
      <c r="D455">
        <v>51</v>
      </c>
      <c r="E455">
        <v>255</v>
      </c>
      <c r="F455">
        <v>220</v>
      </c>
      <c r="G455" s="1">
        <v>45542</v>
      </c>
      <c r="H455" t="s">
        <v>11</v>
      </c>
      <c r="I455">
        <v>2024</v>
      </c>
      <c r="J455">
        <v>9</v>
      </c>
    </row>
    <row r="456" spans="1:10" x14ac:dyDescent="0.3">
      <c r="A456">
        <v>3</v>
      </c>
      <c r="B456">
        <v>18</v>
      </c>
      <c r="C456">
        <v>1</v>
      </c>
      <c r="D456">
        <v>25</v>
      </c>
      <c r="E456">
        <v>25</v>
      </c>
      <c r="F456">
        <v>107</v>
      </c>
      <c r="G456" s="1">
        <v>45435</v>
      </c>
      <c r="H456" t="s">
        <v>11</v>
      </c>
      <c r="I456">
        <v>2024</v>
      </c>
      <c r="J456">
        <v>5</v>
      </c>
    </row>
    <row r="457" spans="1:10" x14ac:dyDescent="0.3">
      <c r="A457">
        <v>3</v>
      </c>
      <c r="B457">
        <v>24</v>
      </c>
      <c r="C457">
        <v>4</v>
      </c>
      <c r="D457">
        <v>41</v>
      </c>
      <c r="E457">
        <v>164</v>
      </c>
      <c r="F457">
        <v>107</v>
      </c>
      <c r="G457" s="1">
        <v>45435</v>
      </c>
      <c r="H457" t="s">
        <v>11</v>
      </c>
      <c r="I457">
        <v>2024</v>
      </c>
      <c r="J457">
        <v>5</v>
      </c>
    </row>
    <row r="458" spans="1:10" x14ac:dyDescent="0.3">
      <c r="A458">
        <v>3</v>
      </c>
      <c r="B458">
        <v>42</v>
      </c>
      <c r="C458">
        <v>2</v>
      </c>
      <c r="D458">
        <v>66</v>
      </c>
      <c r="E458">
        <v>132</v>
      </c>
      <c r="F458">
        <v>107</v>
      </c>
      <c r="G458" s="1">
        <v>45435</v>
      </c>
      <c r="H458" t="s">
        <v>11</v>
      </c>
      <c r="I458">
        <v>2024</v>
      </c>
      <c r="J458">
        <v>5</v>
      </c>
    </row>
    <row r="459" spans="1:10" x14ac:dyDescent="0.3">
      <c r="A459">
        <v>3</v>
      </c>
      <c r="B459">
        <v>35</v>
      </c>
      <c r="C459">
        <v>5</v>
      </c>
      <c r="D459">
        <v>74</v>
      </c>
      <c r="E459">
        <v>370</v>
      </c>
      <c r="F459">
        <v>107</v>
      </c>
      <c r="G459" s="1">
        <v>45435</v>
      </c>
      <c r="H459" t="s">
        <v>11</v>
      </c>
      <c r="I459">
        <v>2024</v>
      </c>
      <c r="J459">
        <v>5</v>
      </c>
    </row>
    <row r="460" spans="1:10" x14ac:dyDescent="0.3">
      <c r="A460">
        <v>28</v>
      </c>
      <c r="B460">
        <v>48</v>
      </c>
      <c r="C460">
        <v>4</v>
      </c>
      <c r="D460">
        <v>119</v>
      </c>
      <c r="E460">
        <v>476</v>
      </c>
      <c r="F460">
        <v>190</v>
      </c>
      <c r="G460" s="1">
        <v>45299</v>
      </c>
      <c r="H460" t="s">
        <v>11</v>
      </c>
      <c r="I460">
        <v>2024</v>
      </c>
      <c r="J460">
        <v>1</v>
      </c>
    </row>
    <row r="461" spans="1:10" x14ac:dyDescent="0.3">
      <c r="A461">
        <v>326</v>
      </c>
      <c r="B461">
        <v>40</v>
      </c>
      <c r="C461">
        <v>2</v>
      </c>
      <c r="D461">
        <v>25</v>
      </c>
      <c r="E461">
        <v>50</v>
      </c>
      <c r="F461">
        <v>63</v>
      </c>
      <c r="G461" s="1">
        <v>45439</v>
      </c>
      <c r="H461" t="s">
        <v>11</v>
      </c>
      <c r="I461">
        <v>2024</v>
      </c>
      <c r="J461">
        <v>5</v>
      </c>
    </row>
    <row r="462" spans="1:10" x14ac:dyDescent="0.3">
      <c r="A462">
        <v>326</v>
      </c>
      <c r="B462">
        <v>4</v>
      </c>
      <c r="C462">
        <v>3</v>
      </c>
      <c r="D462">
        <v>30</v>
      </c>
      <c r="E462">
        <v>90</v>
      </c>
      <c r="F462">
        <v>63</v>
      </c>
      <c r="G462" s="1">
        <v>45439</v>
      </c>
      <c r="H462" t="s">
        <v>11</v>
      </c>
      <c r="I462">
        <v>2024</v>
      </c>
      <c r="J462">
        <v>5</v>
      </c>
    </row>
    <row r="463" spans="1:10" x14ac:dyDescent="0.3">
      <c r="A463">
        <v>326</v>
      </c>
      <c r="B463">
        <v>8</v>
      </c>
      <c r="C463">
        <v>5</v>
      </c>
      <c r="D463">
        <v>119</v>
      </c>
      <c r="E463">
        <v>595</v>
      </c>
      <c r="F463">
        <v>63</v>
      </c>
      <c r="G463" s="1">
        <v>45439</v>
      </c>
      <c r="H463" t="s">
        <v>11</v>
      </c>
      <c r="I463">
        <v>2024</v>
      </c>
      <c r="J463">
        <v>5</v>
      </c>
    </row>
    <row r="464" spans="1:10" x14ac:dyDescent="0.3">
      <c r="A464">
        <v>149</v>
      </c>
      <c r="B464">
        <v>12</v>
      </c>
      <c r="C464">
        <v>3</v>
      </c>
      <c r="D464">
        <v>38</v>
      </c>
      <c r="E464">
        <v>114</v>
      </c>
      <c r="F464">
        <v>198</v>
      </c>
      <c r="G464" s="1">
        <v>45598</v>
      </c>
      <c r="H464" t="s">
        <v>11</v>
      </c>
      <c r="I464">
        <v>2024</v>
      </c>
      <c r="J464">
        <v>11</v>
      </c>
    </row>
    <row r="465" spans="1:10" x14ac:dyDescent="0.3">
      <c r="A465">
        <v>438</v>
      </c>
      <c r="B465">
        <v>50</v>
      </c>
      <c r="C465">
        <v>2</v>
      </c>
      <c r="D465">
        <v>12</v>
      </c>
      <c r="E465">
        <v>24</v>
      </c>
      <c r="F465">
        <v>196</v>
      </c>
      <c r="G465" s="1">
        <v>45449</v>
      </c>
      <c r="H465" t="s">
        <v>11</v>
      </c>
      <c r="I465">
        <v>2024</v>
      </c>
      <c r="J465">
        <v>6</v>
      </c>
    </row>
    <row r="466" spans="1:10" x14ac:dyDescent="0.3">
      <c r="A466">
        <v>438</v>
      </c>
      <c r="B466">
        <v>49</v>
      </c>
      <c r="C466">
        <v>4</v>
      </c>
      <c r="D466">
        <v>33</v>
      </c>
      <c r="E466">
        <v>132</v>
      </c>
      <c r="F466">
        <v>196</v>
      </c>
      <c r="G466" s="1">
        <v>45449</v>
      </c>
      <c r="H466" t="s">
        <v>11</v>
      </c>
      <c r="I466">
        <v>2024</v>
      </c>
      <c r="J466">
        <v>6</v>
      </c>
    </row>
    <row r="467" spans="1:10" x14ac:dyDescent="0.3">
      <c r="A467">
        <v>438</v>
      </c>
      <c r="B467">
        <v>23</v>
      </c>
      <c r="C467">
        <v>1</v>
      </c>
      <c r="D467">
        <v>40</v>
      </c>
      <c r="E467">
        <v>40</v>
      </c>
      <c r="F467">
        <v>196</v>
      </c>
      <c r="G467" s="1">
        <v>45449</v>
      </c>
      <c r="H467" t="s">
        <v>11</v>
      </c>
      <c r="I467">
        <v>2024</v>
      </c>
      <c r="J467">
        <v>6</v>
      </c>
    </row>
    <row r="468" spans="1:10" x14ac:dyDescent="0.3">
      <c r="A468">
        <v>438</v>
      </c>
      <c r="B468">
        <v>49</v>
      </c>
      <c r="C468">
        <v>3</v>
      </c>
      <c r="D468">
        <v>95</v>
      </c>
      <c r="E468">
        <v>285</v>
      </c>
      <c r="F468">
        <v>196</v>
      </c>
      <c r="G468" s="1">
        <v>45449</v>
      </c>
      <c r="H468" t="s">
        <v>11</v>
      </c>
      <c r="I468">
        <v>2024</v>
      </c>
      <c r="J468">
        <v>6</v>
      </c>
    </row>
    <row r="469" spans="1:10" x14ac:dyDescent="0.3">
      <c r="A469">
        <v>65</v>
      </c>
      <c r="B469">
        <v>4</v>
      </c>
      <c r="C469">
        <v>2</v>
      </c>
      <c r="D469">
        <v>98</v>
      </c>
      <c r="E469">
        <v>196</v>
      </c>
      <c r="F469">
        <v>208</v>
      </c>
      <c r="G469" s="1">
        <v>45479</v>
      </c>
      <c r="H469" t="s">
        <v>11</v>
      </c>
      <c r="I469">
        <v>2024</v>
      </c>
      <c r="J469">
        <v>7</v>
      </c>
    </row>
    <row r="470" spans="1:10" x14ac:dyDescent="0.3">
      <c r="A470">
        <v>65</v>
      </c>
      <c r="B470">
        <v>20</v>
      </c>
      <c r="C470">
        <v>5</v>
      </c>
      <c r="D470">
        <v>46</v>
      </c>
      <c r="E470">
        <v>230</v>
      </c>
      <c r="F470">
        <v>208</v>
      </c>
      <c r="G470" s="1">
        <v>45479</v>
      </c>
      <c r="H470" t="s">
        <v>11</v>
      </c>
      <c r="I470">
        <v>2024</v>
      </c>
      <c r="J470">
        <v>7</v>
      </c>
    </row>
    <row r="471" spans="1:10" x14ac:dyDescent="0.3">
      <c r="A471">
        <v>65</v>
      </c>
      <c r="B471">
        <v>38</v>
      </c>
      <c r="C471">
        <v>5</v>
      </c>
      <c r="D471">
        <v>114</v>
      </c>
      <c r="E471">
        <v>570</v>
      </c>
      <c r="F471">
        <v>208</v>
      </c>
      <c r="G471" s="1">
        <v>45479</v>
      </c>
      <c r="H471" t="s">
        <v>11</v>
      </c>
      <c r="I471">
        <v>2024</v>
      </c>
      <c r="J471">
        <v>7</v>
      </c>
    </row>
    <row r="472" spans="1:10" x14ac:dyDescent="0.3">
      <c r="A472">
        <v>65</v>
      </c>
      <c r="B472">
        <v>16</v>
      </c>
      <c r="C472">
        <v>4</v>
      </c>
      <c r="D472">
        <v>52</v>
      </c>
      <c r="E472">
        <v>208</v>
      </c>
      <c r="F472">
        <v>208</v>
      </c>
      <c r="G472" s="1">
        <v>45479</v>
      </c>
      <c r="H472" t="s">
        <v>11</v>
      </c>
      <c r="I472">
        <v>2024</v>
      </c>
      <c r="J472">
        <v>7</v>
      </c>
    </row>
    <row r="473" spans="1:10" x14ac:dyDescent="0.3">
      <c r="A473">
        <v>356</v>
      </c>
      <c r="B473">
        <v>38</v>
      </c>
      <c r="C473">
        <v>5</v>
      </c>
      <c r="D473">
        <v>28</v>
      </c>
      <c r="E473">
        <v>140</v>
      </c>
      <c r="F473">
        <v>229</v>
      </c>
      <c r="G473" s="1">
        <v>45451</v>
      </c>
      <c r="H473" t="s">
        <v>11</v>
      </c>
      <c r="I473">
        <v>2024</v>
      </c>
      <c r="J473">
        <v>6</v>
      </c>
    </row>
    <row r="474" spans="1:10" x14ac:dyDescent="0.3">
      <c r="A474">
        <v>356</v>
      </c>
      <c r="B474">
        <v>24</v>
      </c>
      <c r="C474">
        <v>2</v>
      </c>
      <c r="D474">
        <v>77</v>
      </c>
      <c r="E474">
        <v>154</v>
      </c>
      <c r="F474">
        <v>229</v>
      </c>
      <c r="G474" s="1">
        <v>45451</v>
      </c>
      <c r="H474" t="s">
        <v>11</v>
      </c>
      <c r="I474">
        <v>2024</v>
      </c>
      <c r="J474">
        <v>6</v>
      </c>
    </row>
    <row r="475" spans="1:10" x14ac:dyDescent="0.3">
      <c r="A475">
        <v>252</v>
      </c>
      <c r="B475">
        <v>27</v>
      </c>
      <c r="C475">
        <v>3</v>
      </c>
      <c r="D475">
        <v>75</v>
      </c>
      <c r="E475">
        <v>225</v>
      </c>
      <c r="F475">
        <v>176</v>
      </c>
      <c r="G475" s="1">
        <v>45443</v>
      </c>
      <c r="H475" t="s">
        <v>11</v>
      </c>
      <c r="I475">
        <v>2024</v>
      </c>
      <c r="J475">
        <v>5</v>
      </c>
    </row>
    <row r="476" spans="1:10" x14ac:dyDescent="0.3">
      <c r="A476">
        <v>252</v>
      </c>
      <c r="B476">
        <v>28</v>
      </c>
      <c r="C476">
        <v>4</v>
      </c>
      <c r="D476">
        <v>54</v>
      </c>
      <c r="E476">
        <v>216</v>
      </c>
      <c r="F476">
        <v>176</v>
      </c>
      <c r="G476" s="1">
        <v>45443</v>
      </c>
      <c r="H476" t="s">
        <v>11</v>
      </c>
      <c r="I476">
        <v>2024</v>
      </c>
      <c r="J476">
        <v>5</v>
      </c>
    </row>
    <row r="477" spans="1:10" x14ac:dyDescent="0.3">
      <c r="A477">
        <v>252</v>
      </c>
      <c r="B477">
        <v>15</v>
      </c>
      <c r="C477">
        <v>3</v>
      </c>
      <c r="D477">
        <v>70</v>
      </c>
      <c r="E477">
        <v>210</v>
      </c>
      <c r="F477">
        <v>176</v>
      </c>
      <c r="G477" s="1">
        <v>45443</v>
      </c>
      <c r="H477" t="s">
        <v>11</v>
      </c>
      <c r="I477">
        <v>2024</v>
      </c>
      <c r="J477">
        <v>5</v>
      </c>
    </row>
    <row r="478" spans="1:10" x14ac:dyDescent="0.3">
      <c r="A478">
        <v>525</v>
      </c>
      <c r="B478">
        <v>16</v>
      </c>
      <c r="C478">
        <v>1</v>
      </c>
      <c r="D478">
        <v>83</v>
      </c>
      <c r="E478">
        <v>83</v>
      </c>
      <c r="F478">
        <v>91</v>
      </c>
      <c r="G478" s="1">
        <v>45349</v>
      </c>
      <c r="H478" t="s">
        <v>11</v>
      </c>
      <c r="I478">
        <v>2024</v>
      </c>
      <c r="J478">
        <v>2</v>
      </c>
    </row>
    <row r="479" spans="1:10" x14ac:dyDescent="0.3">
      <c r="A479">
        <v>525</v>
      </c>
      <c r="B479">
        <v>26</v>
      </c>
      <c r="C479">
        <v>2</v>
      </c>
      <c r="D479">
        <v>33</v>
      </c>
      <c r="E479">
        <v>66</v>
      </c>
      <c r="F479">
        <v>91</v>
      </c>
      <c r="G479" s="1">
        <v>45349</v>
      </c>
      <c r="H479" t="s">
        <v>11</v>
      </c>
      <c r="I479">
        <v>2024</v>
      </c>
      <c r="J479">
        <v>2</v>
      </c>
    </row>
    <row r="480" spans="1:10" x14ac:dyDescent="0.3">
      <c r="A480">
        <v>525</v>
      </c>
      <c r="B480">
        <v>45</v>
      </c>
      <c r="C480">
        <v>4</v>
      </c>
      <c r="D480">
        <v>97</v>
      </c>
      <c r="E480">
        <v>388</v>
      </c>
      <c r="F480">
        <v>91</v>
      </c>
      <c r="G480" s="1">
        <v>45349</v>
      </c>
      <c r="H480" t="s">
        <v>11</v>
      </c>
      <c r="I480">
        <v>2024</v>
      </c>
      <c r="J480">
        <v>2</v>
      </c>
    </row>
    <row r="481" spans="1:10" x14ac:dyDescent="0.3">
      <c r="A481">
        <v>525</v>
      </c>
      <c r="B481">
        <v>6</v>
      </c>
      <c r="C481">
        <v>2</v>
      </c>
      <c r="D481">
        <v>58</v>
      </c>
      <c r="E481">
        <v>116</v>
      </c>
      <c r="F481">
        <v>91</v>
      </c>
      <c r="G481" s="1">
        <v>45349</v>
      </c>
      <c r="H481" t="s">
        <v>11</v>
      </c>
      <c r="I481">
        <v>2024</v>
      </c>
      <c r="J481">
        <v>2</v>
      </c>
    </row>
    <row r="482" spans="1:10" x14ac:dyDescent="0.3">
      <c r="A482">
        <v>49</v>
      </c>
      <c r="B482">
        <v>31</v>
      </c>
      <c r="C482">
        <v>2</v>
      </c>
      <c r="D482">
        <v>31</v>
      </c>
      <c r="E482">
        <v>62</v>
      </c>
      <c r="F482">
        <v>2</v>
      </c>
      <c r="G482" s="1">
        <v>45411</v>
      </c>
      <c r="H482" t="s">
        <v>11</v>
      </c>
      <c r="I482">
        <v>2024</v>
      </c>
      <c r="J482">
        <v>4</v>
      </c>
    </row>
    <row r="483" spans="1:10" x14ac:dyDescent="0.3">
      <c r="A483">
        <v>49</v>
      </c>
      <c r="B483">
        <v>47</v>
      </c>
      <c r="C483">
        <v>1</v>
      </c>
      <c r="D483">
        <v>33</v>
      </c>
      <c r="E483">
        <v>33</v>
      </c>
      <c r="F483">
        <v>2</v>
      </c>
      <c r="G483" s="1">
        <v>45411</v>
      </c>
      <c r="H483" t="s">
        <v>11</v>
      </c>
      <c r="I483">
        <v>2024</v>
      </c>
      <c r="J483">
        <v>4</v>
      </c>
    </row>
    <row r="484" spans="1:10" x14ac:dyDescent="0.3">
      <c r="A484">
        <v>49</v>
      </c>
      <c r="B484">
        <v>6</v>
      </c>
      <c r="C484">
        <v>5</v>
      </c>
      <c r="D484">
        <v>35</v>
      </c>
      <c r="E484">
        <v>175</v>
      </c>
      <c r="F484">
        <v>2</v>
      </c>
      <c r="G484" s="1">
        <v>45411</v>
      </c>
      <c r="H484" t="s">
        <v>11</v>
      </c>
      <c r="I484">
        <v>2024</v>
      </c>
      <c r="J484">
        <v>4</v>
      </c>
    </row>
    <row r="485" spans="1:10" x14ac:dyDescent="0.3">
      <c r="A485">
        <v>49</v>
      </c>
      <c r="B485">
        <v>4</v>
      </c>
      <c r="C485">
        <v>5</v>
      </c>
      <c r="D485">
        <v>90</v>
      </c>
      <c r="E485">
        <v>450</v>
      </c>
      <c r="F485">
        <v>2</v>
      </c>
      <c r="G485" s="1">
        <v>45411</v>
      </c>
      <c r="H485" t="s">
        <v>11</v>
      </c>
      <c r="I485">
        <v>2024</v>
      </c>
      <c r="J485">
        <v>4</v>
      </c>
    </row>
    <row r="486" spans="1:10" x14ac:dyDescent="0.3">
      <c r="A486">
        <v>54</v>
      </c>
      <c r="B486">
        <v>14</v>
      </c>
      <c r="C486">
        <v>4</v>
      </c>
      <c r="D486">
        <v>100</v>
      </c>
      <c r="E486">
        <v>400</v>
      </c>
      <c r="F486">
        <v>218</v>
      </c>
      <c r="G486" s="1">
        <v>45602</v>
      </c>
      <c r="H486" t="s">
        <v>11</v>
      </c>
      <c r="I486">
        <v>2024</v>
      </c>
      <c r="J486">
        <v>11</v>
      </c>
    </row>
    <row r="487" spans="1:10" x14ac:dyDescent="0.3">
      <c r="A487">
        <v>54</v>
      </c>
      <c r="B487">
        <v>46</v>
      </c>
      <c r="C487">
        <v>3</v>
      </c>
      <c r="D487">
        <v>10</v>
      </c>
      <c r="E487">
        <v>30</v>
      </c>
      <c r="F487">
        <v>218</v>
      </c>
      <c r="G487" s="1">
        <v>45602</v>
      </c>
      <c r="H487" t="s">
        <v>11</v>
      </c>
      <c r="I487">
        <v>2024</v>
      </c>
      <c r="J487">
        <v>11</v>
      </c>
    </row>
    <row r="488" spans="1:10" x14ac:dyDescent="0.3">
      <c r="A488">
        <v>54</v>
      </c>
      <c r="B488">
        <v>13</v>
      </c>
      <c r="C488">
        <v>2</v>
      </c>
      <c r="D488">
        <v>70</v>
      </c>
      <c r="E488">
        <v>140</v>
      </c>
      <c r="F488">
        <v>218</v>
      </c>
      <c r="G488" s="1">
        <v>45602</v>
      </c>
      <c r="H488" t="s">
        <v>11</v>
      </c>
      <c r="I488">
        <v>2024</v>
      </c>
      <c r="J488">
        <v>11</v>
      </c>
    </row>
    <row r="489" spans="1:10" x14ac:dyDescent="0.3">
      <c r="A489">
        <v>650</v>
      </c>
      <c r="B489">
        <v>45</v>
      </c>
      <c r="C489">
        <v>5</v>
      </c>
      <c r="D489">
        <v>22</v>
      </c>
      <c r="E489">
        <v>110</v>
      </c>
      <c r="F489">
        <v>75</v>
      </c>
      <c r="G489" s="1">
        <v>45303</v>
      </c>
      <c r="H489" t="s">
        <v>11</v>
      </c>
      <c r="I489">
        <v>2024</v>
      </c>
      <c r="J489">
        <v>1</v>
      </c>
    </row>
    <row r="490" spans="1:10" x14ac:dyDescent="0.3">
      <c r="A490">
        <v>650</v>
      </c>
      <c r="B490">
        <v>5</v>
      </c>
      <c r="C490">
        <v>3</v>
      </c>
      <c r="D490">
        <v>59</v>
      </c>
      <c r="E490">
        <v>177</v>
      </c>
      <c r="F490">
        <v>75</v>
      </c>
      <c r="G490" s="1">
        <v>45303</v>
      </c>
      <c r="H490" t="s">
        <v>11</v>
      </c>
      <c r="I490">
        <v>2024</v>
      </c>
      <c r="J490">
        <v>1</v>
      </c>
    </row>
    <row r="491" spans="1:10" x14ac:dyDescent="0.3">
      <c r="A491">
        <v>650</v>
      </c>
      <c r="B491">
        <v>33</v>
      </c>
      <c r="C491">
        <v>2</v>
      </c>
      <c r="D491">
        <v>81</v>
      </c>
      <c r="E491">
        <v>162</v>
      </c>
      <c r="F491">
        <v>75</v>
      </c>
      <c r="G491" s="1">
        <v>45303</v>
      </c>
      <c r="H491" t="s">
        <v>11</v>
      </c>
      <c r="I491">
        <v>2024</v>
      </c>
      <c r="J491">
        <v>1</v>
      </c>
    </row>
    <row r="492" spans="1:10" x14ac:dyDescent="0.3">
      <c r="A492">
        <v>650</v>
      </c>
      <c r="B492">
        <v>48</v>
      </c>
      <c r="C492">
        <v>3</v>
      </c>
      <c r="D492">
        <v>61</v>
      </c>
      <c r="E492">
        <v>183</v>
      </c>
      <c r="F492">
        <v>75</v>
      </c>
      <c r="G492" s="1">
        <v>45303</v>
      </c>
      <c r="H492" t="s">
        <v>11</v>
      </c>
      <c r="I492">
        <v>2024</v>
      </c>
      <c r="J492">
        <v>1</v>
      </c>
    </row>
    <row r="493" spans="1:10" x14ac:dyDescent="0.3">
      <c r="A493">
        <v>650</v>
      </c>
      <c r="B493">
        <v>48</v>
      </c>
      <c r="C493">
        <v>2</v>
      </c>
      <c r="D493">
        <v>112</v>
      </c>
      <c r="E493">
        <v>224</v>
      </c>
      <c r="F493">
        <v>75</v>
      </c>
      <c r="G493" s="1">
        <v>45303</v>
      </c>
      <c r="H493" t="s">
        <v>11</v>
      </c>
      <c r="I493">
        <v>2024</v>
      </c>
      <c r="J493">
        <v>1</v>
      </c>
    </row>
    <row r="494" spans="1:10" x14ac:dyDescent="0.3">
      <c r="A494">
        <v>650</v>
      </c>
      <c r="B494">
        <v>21</v>
      </c>
      <c r="C494">
        <v>1</v>
      </c>
      <c r="D494">
        <v>45</v>
      </c>
      <c r="E494">
        <v>45</v>
      </c>
      <c r="F494">
        <v>75</v>
      </c>
      <c r="G494" s="1">
        <v>45303</v>
      </c>
      <c r="H494" t="s">
        <v>11</v>
      </c>
      <c r="I494">
        <v>2024</v>
      </c>
      <c r="J494">
        <v>1</v>
      </c>
    </row>
    <row r="495" spans="1:10" x14ac:dyDescent="0.3">
      <c r="A495">
        <v>650</v>
      </c>
      <c r="B495">
        <v>34</v>
      </c>
      <c r="C495">
        <v>2</v>
      </c>
      <c r="D495">
        <v>109</v>
      </c>
      <c r="E495">
        <v>218</v>
      </c>
      <c r="F495">
        <v>75</v>
      </c>
      <c r="G495" s="1">
        <v>45303</v>
      </c>
      <c r="H495" t="s">
        <v>11</v>
      </c>
      <c r="I495">
        <v>2024</v>
      </c>
      <c r="J495">
        <v>1</v>
      </c>
    </row>
    <row r="496" spans="1:10" x14ac:dyDescent="0.3">
      <c r="A496">
        <v>44</v>
      </c>
      <c r="B496">
        <v>34</v>
      </c>
      <c r="C496">
        <v>2</v>
      </c>
      <c r="D496">
        <v>14</v>
      </c>
      <c r="E496">
        <v>28</v>
      </c>
      <c r="F496">
        <v>264</v>
      </c>
      <c r="G496" s="1">
        <v>45582</v>
      </c>
      <c r="H496" t="s">
        <v>11</v>
      </c>
      <c r="I496">
        <v>2024</v>
      </c>
      <c r="J496">
        <v>10</v>
      </c>
    </row>
    <row r="497" spans="1:10" x14ac:dyDescent="0.3">
      <c r="A497">
        <v>44</v>
      </c>
      <c r="B497">
        <v>3</v>
      </c>
      <c r="C497">
        <v>2</v>
      </c>
      <c r="D497">
        <v>112</v>
      </c>
      <c r="E497">
        <v>224</v>
      </c>
      <c r="F497">
        <v>264</v>
      </c>
      <c r="G497" s="1">
        <v>45582</v>
      </c>
      <c r="H497" t="s">
        <v>11</v>
      </c>
      <c r="I497">
        <v>2024</v>
      </c>
      <c r="J497">
        <v>10</v>
      </c>
    </row>
    <row r="498" spans="1:10" x14ac:dyDescent="0.3">
      <c r="A498">
        <v>44</v>
      </c>
      <c r="B498">
        <v>26</v>
      </c>
      <c r="C498">
        <v>5</v>
      </c>
      <c r="D498">
        <v>103</v>
      </c>
      <c r="E498">
        <v>515</v>
      </c>
      <c r="F498">
        <v>264</v>
      </c>
      <c r="G498" s="1">
        <v>45582</v>
      </c>
      <c r="H498" t="s">
        <v>11</v>
      </c>
      <c r="I498">
        <v>2024</v>
      </c>
      <c r="J498">
        <v>10</v>
      </c>
    </row>
    <row r="499" spans="1:10" x14ac:dyDescent="0.3">
      <c r="A499">
        <v>586</v>
      </c>
      <c r="B499">
        <v>42</v>
      </c>
      <c r="C499">
        <v>4</v>
      </c>
      <c r="D499">
        <v>36</v>
      </c>
      <c r="E499">
        <v>144</v>
      </c>
      <c r="F499">
        <v>46</v>
      </c>
      <c r="G499" s="1">
        <v>45470</v>
      </c>
      <c r="H499" t="s">
        <v>11</v>
      </c>
      <c r="I499">
        <v>2024</v>
      </c>
      <c r="J499">
        <v>6</v>
      </c>
    </row>
    <row r="500" spans="1:10" x14ac:dyDescent="0.3">
      <c r="A500">
        <v>586</v>
      </c>
      <c r="B500">
        <v>42</v>
      </c>
      <c r="C500">
        <v>4</v>
      </c>
      <c r="D500">
        <v>39</v>
      </c>
      <c r="E500">
        <v>156</v>
      </c>
      <c r="F500">
        <v>46</v>
      </c>
      <c r="G500" s="1">
        <v>45470</v>
      </c>
      <c r="H500" t="s">
        <v>11</v>
      </c>
      <c r="I500">
        <v>2024</v>
      </c>
      <c r="J500">
        <v>6</v>
      </c>
    </row>
    <row r="501" spans="1:10" x14ac:dyDescent="0.3">
      <c r="A501">
        <v>586</v>
      </c>
      <c r="B501">
        <v>49</v>
      </c>
      <c r="C501">
        <v>5</v>
      </c>
      <c r="D501">
        <v>70</v>
      </c>
      <c r="E501">
        <v>350</v>
      </c>
      <c r="F501">
        <v>46</v>
      </c>
      <c r="G501" s="1">
        <v>45470</v>
      </c>
      <c r="H501" t="s">
        <v>11</v>
      </c>
      <c r="I501">
        <v>2024</v>
      </c>
      <c r="J501">
        <v>6</v>
      </c>
    </row>
    <row r="502" spans="1:10" x14ac:dyDescent="0.3">
      <c r="A502">
        <v>558</v>
      </c>
      <c r="B502">
        <v>9</v>
      </c>
      <c r="C502">
        <v>5</v>
      </c>
      <c r="D502">
        <v>87</v>
      </c>
      <c r="E502">
        <v>435</v>
      </c>
      <c r="F502">
        <v>233</v>
      </c>
      <c r="G502" s="1">
        <v>45527</v>
      </c>
      <c r="H502" t="s">
        <v>11</v>
      </c>
      <c r="I502">
        <v>2024</v>
      </c>
      <c r="J502">
        <v>8</v>
      </c>
    </row>
    <row r="503" spans="1:10" x14ac:dyDescent="0.3">
      <c r="A503">
        <v>558</v>
      </c>
      <c r="B503">
        <v>43</v>
      </c>
      <c r="C503">
        <v>1</v>
      </c>
      <c r="D503">
        <v>38</v>
      </c>
      <c r="E503">
        <v>38</v>
      </c>
      <c r="F503">
        <v>233</v>
      </c>
      <c r="G503" s="1">
        <v>45527</v>
      </c>
      <c r="H503" t="s">
        <v>11</v>
      </c>
      <c r="I503">
        <v>2024</v>
      </c>
      <c r="J503">
        <v>8</v>
      </c>
    </row>
    <row r="504" spans="1:10" x14ac:dyDescent="0.3">
      <c r="A504">
        <v>558</v>
      </c>
      <c r="B504">
        <v>3</v>
      </c>
      <c r="C504">
        <v>2</v>
      </c>
      <c r="D504">
        <v>82</v>
      </c>
      <c r="E504">
        <v>164</v>
      </c>
      <c r="F504">
        <v>233</v>
      </c>
      <c r="G504" s="1">
        <v>45527</v>
      </c>
      <c r="H504" t="s">
        <v>11</v>
      </c>
      <c r="I504">
        <v>2024</v>
      </c>
      <c r="J504">
        <v>8</v>
      </c>
    </row>
    <row r="505" spans="1:10" x14ac:dyDescent="0.3">
      <c r="A505">
        <v>558</v>
      </c>
      <c r="B505">
        <v>41</v>
      </c>
      <c r="C505">
        <v>5</v>
      </c>
      <c r="D505">
        <v>104</v>
      </c>
      <c r="E505">
        <v>520</v>
      </c>
      <c r="F505">
        <v>233</v>
      </c>
      <c r="G505" s="1">
        <v>45527</v>
      </c>
      <c r="H505" t="s">
        <v>11</v>
      </c>
      <c r="I505">
        <v>2024</v>
      </c>
      <c r="J505">
        <v>8</v>
      </c>
    </row>
    <row r="506" spans="1:10" x14ac:dyDescent="0.3">
      <c r="A506">
        <v>677</v>
      </c>
      <c r="B506">
        <v>20</v>
      </c>
      <c r="C506">
        <v>4</v>
      </c>
      <c r="D506">
        <v>76</v>
      </c>
      <c r="E506">
        <v>304</v>
      </c>
      <c r="F506">
        <v>43</v>
      </c>
      <c r="G506" s="1">
        <v>45534</v>
      </c>
      <c r="H506" t="s">
        <v>11</v>
      </c>
      <c r="I506">
        <v>2024</v>
      </c>
      <c r="J506">
        <v>8</v>
      </c>
    </row>
    <row r="507" spans="1:10" x14ac:dyDescent="0.3">
      <c r="A507">
        <v>677</v>
      </c>
      <c r="B507">
        <v>26</v>
      </c>
      <c r="C507">
        <v>4</v>
      </c>
      <c r="D507">
        <v>102</v>
      </c>
      <c r="E507">
        <v>408</v>
      </c>
      <c r="F507">
        <v>43</v>
      </c>
      <c r="G507" s="1">
        <v>45534</v>
      </c>
      <c r="H507" t="s">
        <v>11</v>
      </c>
      <c r="I507">
        <v>2024</v>
      </c>
      <c r="J507">
        <v>8</v>
      </c>
    </row>
    <row r="508" spans="1:10" x14ac:dyDescent="0.3">
      <c r="A508">
        <v>677</v>
      </c>
      <c r="B508">
        <v>45</v>
      </c>
      <c r="C508">
        <v>5</v>
      </c>
      <c r="D508">
        <v>39</v>
      </c>
      <c r="E508">
        <v>195</v>
      </c>
      <c r="F508">
        <v>43</v>
      </c>
      <c r="G508" s="1">
        <v>45534</v>
      </c>
      <c r="H508" t="s">
        <v>11</v>
      </c>
      <c r="I508">
        <v>2024</v>
      </c>
      <c r="J508">
        <v>8</v>
      </c>
    </row>
    <row r="509" spans="1:10" x14ac:dyDescent="0.3">
      <c r="A509">
        <v>792</v>
      </c>
      <c r="B509">
        <v>10</v>
      </c>
      <c r="C509">
        <v>2</v>
      </c>
      <c r="D509">
        <v>103</v>
      </c>
      <c r="E509">
        <v>206</v>
      </c>
      <c r="F509">
        <v>243</v>
      </c>
      <c r="G509" s="1">
        <v>45536</v>
      </c>
      <c r="H509" t="s">
        <v>11</v>
      </c>
      <c r="I509">
        <v>2024</v>
      </c>
      <c r="J509">
        <v>9</v>
      </c>
    </row>
    <row r="510" spans="1:10" x14ac:dyDescent="0.3">
      <c r="A510">
        <v>792</v>
      </c>
      <c r="B510">
        <v>1</v>
      </c>
      <c r="C510">
        <v>4</v>
      </c>
      <c r="D510">
        <v>14</v>
      </c>
      <c r="E510">
        <v>56</v>
      </c>
      <c r="F510">
        <v>243</v>
      </c>
      <c r="G510" s="1">
        <v>45536</v>
      </c>
      <c r="H510" t="s">
        <v>11</v>
      </c>
      <c r="I510">
        <v>2024</v>
      </c>
      <c r="J510">
        <v>9</v>
      </c>
    </row>
    <row r="511" spans="1:10" x14ac:dyDescent="0.3">
      <c r="A511">
        <v>792</v>
      </c>
      <c r="B511">
        <v>8</v>
      </c>
      <c r="C511">
        <v>5</v>
      </c>
      <c r="D511">
        <v>85</v>
      </c>
      <c r="E511">
        <v>425</v>
      </c>
      <c r="F511">
        <v>243</v>
      </c>
      <c r="G511" s="1">
        <v>45536</v>
      </c>
      <c r="H511" t="s">
        <v>11</v>
      </c>
      <c r="I511">
        <v>2024</v>
      </c>
      <c r="J511">
        <v>9</v>
      </c>
    </row>
    <row r="512" spans="1:10" x14ac:dyDescent="0.3">
      <c r="A512">
        <v>770</v>
      </c>
      <c r="B512">
        <v>19</v>
      </c>
      <c r="C512">
        <v>5</v>
      </c>
      <c r="D512">
        <v>108</v>
      </c>
      <c r="E512">
        <v>540</v>
      </c>
      <c r="F512">
        <v>111</v>
      </c>
      <c r="G512" s="1">
        <v>45398</v>
      </c>
      <c r="H512" t="s">
        <v>11</v>
      </c>
      <c r="I512">
        <v>2024</v>
      </c>
      <c r="J512">
        <v>4</v>
      </c>
    </row>
    <row r="513" spans="1:10" x14ac:dyDescent="0.3">
      <c r="A513">
        <v>770</v>
      </c>
      <c r="B513">
        <v>12</v>
      </c>
      <c r="C513">
        <v>5</v>
      </c>
      <c r="D513">
        <v>65</v>
      </c>
      <c r="E513">
        <v>325</v>
      </c>
      <c r="F513">
        <v>111</v>
      </c>
      <c r="G513" s="1">
        <v>45398</v>
      </c>
      <c r="H513" t="s">
        <v>11</v>
      </c>
      <c r="I513">
        <v>2024</v>
      </c>
      <c r="J513">
        <v>4</v>
      </c>
    </row>
    <row r="514" spans="1:10" x14ac:dyDescent="0.3">
      <c r="A514">
        <v>849</v>
      </c>
      <c r="B514">
        <v>24</v>
      </c>
      <c r="C514">
        <v>4</v>
      </c>
      <c r="D514">
        <v>72</v>
      </c>
      <c r="E514">
        <v>288</v>
      </c>
      <c r="F514">
        <v>296</v>
      </c>
      <c r="G514" s="1">
        <v>45438</v>
      </c>
      <c r="H514" t="s">
        <v>11</v>
      </c>
      <c r="I514">
        <v>2024</v>
      </c>
      <c r="J514">
        <v>5</v>
      </c>
    </row>
    <row r="515" spans="1:10" x14ac:dyDescent="0.3">
      <c r="A515">
        <v>849</v>
      </c>
      <c r="B515">
        <v>39</v>
      </c>
      <c r="C515">
        <v>2</v>
      </c>
      <c r="D515">
        <v>105</v>
      </c>
      <c r="E515">
        <v>210</v>
      </c>
      <c r="F515">
        <v>296</v>
      </c>
      <c r="G515" s="1">
        <v>45438</v>
      </c>
      <c r="H515" t="s">
        <v>11</v>
      </c>
      <c r="I515">
        <v>2024</v>
      </c>
      <c r="J515">
        <v>5</v>
      </c>
    </row>
    <row r="516" spans="1:10" x14ac:dyDescent="0.3">
      <c r="A516">
        <v>849</v>
      </c>
      <c r="B516">
        <v>39</v>
      </c>
      <c r="C516">
        <v>2</v>
      </c>
      <c r="D516">
        <v>91</v>
      </c>
      <c r="E516">
        <v>182</v>
      </c>
      <c r="F516">
        <v>296</v>
      </c>
      <c r="G516" s="1">
        <v>45438</v>
      </c>
      <c r="H516" t="s">
        <v>11</v>
      </c>
      <c r="I516">
        <v>2024</v>
      </c>
      <c r="J516">
        <v>5</v>
      </c>
    </row>
    <row r="517" spans="1:10" x14ac:dyDescent="0.3">
      <c r="A517">
        <v>868</v>
      </c>
      <c r="B517">
        <v>5</v>
      </c>
      <c r="C517">
        <v>2</v>
      </c>
      <c r="D517">
        <v>87</v>
      </c>
      <c r="E517">
        <v>174</v>
      </c>
      <c r="F517">
        <v>104</v>
      </c>
      <c r="G517" s="1">
        <v>45368</v>
      </c>
      <c r="H517" t="s">
        <v>11</v>
      </c>
      <c r="I517">
        <v>2024</v>
      </c>
      <c r="J517">
        <v>3</v>
      </c>
    </row>
    <row r="518" spans="1:10" x14ac:dyDescent="0.3">
      <c r="A518">
        <v>868</v>
      </c>
      <c r="B518">
        <v>46</v>
      </c>
      <c r="C518">
        <v>5</v>
      </c>
      <c r="D518">
        <v>34</v>
      </c>
      <c r="E518">
        <v>170</v>
      </c>
      <c r="F518">
        <v>104</v>
      </c>
      <c r="G518" s="1">
        <v>45368</v>
      </c>
      <c r="H518" t="s">
        <v>11</v>
      </c>
      <c r="I518">
        <v>2024</v>
      </c>
      <c r="J518">
        <v>3</v>
      </c>
    </row>
    <row r="519" spans="1:10" x14ac:dyDescent="0.3">
      <c r="A519">
        <v>868</v>
      </c>
      <c r="B519">
        <v>44</v>
      </c>
      <c r="C519">
        <v>4</v>
      </c>
      <c r="D519">
        <v>49</v>
      </c>
      <c r="E519">
        <v>196</v>
      </c>
      <c r="F519">
        <v>104</v>
      </c>
      <c r="G519" s="1">
        <v>45368</v>
      </c>
      <c r="H519" t="s">
        <v>11</v>
      </c>
      <c r="I519">
        <v>2024</v>
      </c>
      <c r="J519">
        <v>3</v>
      </c>
    </row>
    <row r="520" spans="1:10" x14ac:dyDescent="0.3">
      <c r="A520">
        <v>398</v>
      </c>
      <c r="B520">
        <v>3</v>
      </c>
      <c r="C520">
        <v>4</v>
      </c>
      <c r="D520">
        <v>21</v>
      </c>
      <c r="E520">
        <v>84</v>
      </c>
      <c r="F520">
        <v>10</v>
      </c>
      <c r="G520" s="1">
        <v>45477</v>
      </c>
      <c r="H520" t="s">
        <v>11</v>
      </c>
      <c r="I520">
        <v>2024</v>
      </c>
      <c r="J520">
        <v>7</v>
      </c>
    </row>
    <row r="521" spans="1:10" x14ac:dyDescent="0.3">
      <c r="A521">
        <v>138</v>
      </c>
      <c r="B521">
        <v>27</v>
      </c>
      <c r="C521">
        <v>1</v>
      </c>
      <c r="D521">
        <v>37</v>
      </c>
      <c r="E521">
        <v>37</v>
      </c>
      <c r="F521">
        <v>44</v>
      </c>
      <c r="G521" s="1">
        <v>45528</v>
      </c>
      <c r="H521" t="s">
        <v>11</v>
      </c>
      <c r="I521">
        <v>2024</v>
      </c>
      <c r="J521">
        <v>8</v>
      </c>
    </row>
    <row r="522" spans="1:10" x14ac:dyDescent="0.3">
      <c r="A522">
        <v>138</v>
      </c>
      <c r="B522">
        <v>8</v>
      </c>
      <c r="C522">
        <v>2</v>
      </c>
      <c r="D522">
        <v>65</v>
      </c>
      <c r="E522">
        <v>130</v>
      </c>
      <c r="F522">
        <v>44</v>
      </c>
      <c r="G522" s="1">
        <v>45528</v>
      </c>
      <c r="H522" t="s">
        <v>11</v>
      </c>
      <c r="I522">
        <v>2024</v>
      </c>
      <c r="J522">
        <v>8</v>
      </c>
    </row>
    <row r="523" spans="1:10" x14ac:dyDescent="0.3">
      <c r="A523">
        <v>675</v>
      </c>
      <c r="B523">
        <v>16</v>
      </c>
      <c r="C523">
        <v>1</v>
      </c>
      <c r="D523">
        <v>53</v>
      </c>
      <c r="E523">
        <v>53</v>
      </c>
      <c r="F523">
        <v>126</v>
      </c>
      <c r="G523" s="1">
        <v>45422</v>
      </c>
      <c r="H523" t="s">
        <v>11</v>
      </c>
      <c r="I523">
        <v>2024</v>
      </c>
      <c r="J523">
        <v>5</v>
      </c>
    </row>
    <row r="524" spans="1:10" x14ac:dyDescent="0.3">
      <c r="A524">
        <v>675</v>
      </c>
      <c r="B524">
        <v>42</v>
      </c>
      <c r="C524">
        <v>4</v>
      </c>
      <c r="D524">
        <v>71</v>
      </c>
      <c r="E524">
        <v>284</v>
      </c>
      <c r="F524">
        <v>126</v>
      </c>
      <c r="G524" s="1">
        <v>45422</v>
      </c>
      <c r="H524" t="s">
        <v>11</v>
      </c>
      <c r="I524">
        <v>2024</v>
      </c>
      <c r="J524">
        <v>5</v>
      </c>
    </row>
    <row r="525" spans="1:10" x14ac:dyDescent="0.3">
      <c r="A525">
        <v>675</v>
      </c>
      <c r="B525">
        <v>25</v>
      </c>
      <c r="C525">
        <v>4</v>
      </c>
      <c r="D525">
        <v>63</v>
      </c>
      <c r="E525">
        <v>252</v>
      </c>
      <c r="F525">
        <v>126</v>
      </c>
      <c r="G525" s="1">
        <v>45422</v>
      </c>
      <c r="H525" t="s">
        <v>11</v>
      </c>
      <c r="I525">
        <v>2024</v>
      </c>
      <c r="J525">
        <v>5</v>
      </c>
    </row>
    <row r="526" spans="1:10" x14ac:dyDescent="0.3">
      <c r="A526">
        <v>675</v>
      </c>
      <c r="B526">
        <v>16</v>
      </c>
      <c r="C526">
        <v>3</v>
      </c>
      <c r="D526">
        <v>67</v>
      </c>
      <c r="E526">
        <v>201</v>
      </c>
      <c r="F526">
        <v>126</v>
      </c>
      <c r="G526" s="1">
        <v>45422</v>
      </c>
      <c r="H526" t="s">
        <v>11</v>
      </c>
      <c r="I526">
        <v>2024</v>
      </c>
      <c r="J526">
        <v>5</v>
      </c>
    </row>
    <row r="527" spans="1:10" x14ac:dyDescent="0.3">
      <c r="A527">
        <v>921</v>
      </c>
      <c r="B527">
        <v>49</v>
      </c>
      <c r="C527">
        <v>2</v>
      </c>
      <c r="D527">
        <v>102</v>
      </c>
      <c r="E527">
        <v>204</v>
      </c>
      <c r="F527">
        <v>299</v>
      </c>
      <c r="G527" s="1">
        <v>45593</v>
      </c>
      <c r="H527" t="s">
        <v>11</v>
      </c>
      <c r="I527">
        <v>2024</v>
      </c>
      <c r="J527">
        <v>10</v>
      </c>
    </row>
    <row r="528" spans="1:10" x14ac:dyDescent="0.3">
      <c r="A528">
        <v>921</v>
      </c>
      <c r="B528">
        <v>21</v>
      </c>
      <c r="C528">
        <v>2</v>
      </c>
      <c r="D528">
        <v>94</v>
      </c>
      <c r="E528">
        <v>188</v>
      </c>
      <c r="F528">
        <v>299</v>
      </c>
      <c r="G528" s="1">
        <v>45593</v>
      </c>
      <c r="H528" t="s">
        <v>11</v>
      </c>
      <c r="I528">
        <v>2024</v>
      </c>
      <c r="J528">
        <v>10</v>
      </c>
    </row>
    <row r="529" spans="1:10" x14ac:dyDescent="0.3">
      <c r="A529">
        <v>387</v>
      </c>
      <c r="B529">
        <v>15</v>
      </c>
      <c r="C529">
        <v>5</v>
      </c>
      <c r="D529">
        <v>52</v>
      </c>
      <c r="E529">
        <v>260</v>
      </c>
      <c r="F529">
        <v>94</v>
      </c>
      <c r="G529" s="1">
        <v>45607</v>
      </c>
      <c r="H529" t="s">
        <v>11</v>
      </c>
      <c r="I529">
        <v>2024</v>
      </c>
      <c r="J529">
        <v>11</v>
      </c>
    </row>
    <row r="530" spans="1:10" x14ac:dyDescent="0.3">
      <c r="A530">
        <v>387</v>
      </c>
      <c r="B530">
        <v>22</v>
      </c>
      <c r="C530">
        <v>2</v>
      </c>
      <c r="D530">
        <v>14</v>
      </c>
      <c r="E530">
        <v>28</v>
      </c>
      <c r="F530">
        <v>94</v>
      </c>
      <c r="G530" s="1">
        <v>45607</v>
      </c>
      <c r="H530" t="s">
        <v>11</v>
      </c>
      <c r="I530">
        <v>2024</v>
      </c>
      <c r="J530">
        <v>11</v>
      </c>
    </row>
    <row r="531" spans="1:10" x14ac:dyDescent="0.3">
      <c r="A531">
        <v>387</v>
      </c>
      <c r="B531">
        <v>2</v>
      </c>
      <c r="C531">
        <v>2</v>
      </c>
      <c r="D531">
        <v>56</v>
      </c>
      <c r="E531">
        <v>112</v>
      </c>
      <c r="F531">
        <v>94</v>
      </c>
      <c r="G531" s="1">
        <v>45607</v>
      </c>
      <c r="H531" t="s">
        <v>11</v>
      </c>
      <c r="I531">
        <v>2024</v>
      </c>
      <c r="J531">
        <v>11</v>
      </c>
    </row>
    <row r="532" spans="1:10" x14ac:dyDescent="0.3">
      <c r="A532">
        <v>387</v>
      </c>
      <c r="B532">
        <v>25</v>
      </c>
      <c r="C532">
        <v>3</v>
      </c>
      <c r="D532">
        <v>100</v>
      </c>
      <c r="E532">
        <v>300</v>
      </c>
      <c r="F532">
        <v>94</v>
      </c>
      <c r="G532" s="1">
        <v>45607</v>
      </c>
      <c r="H532" t="s">
        <v>11</v>
      </c>
      <c r="I532">
        <v>2024</v>
      </c>
      <c r="J532">
        <v>11</v>
      </c>
    </row>
    <row r="533" spans="1:10" x14ac:dyDescent="0.3">
      <c r="A533">
        <v>111</v>
      </c>
      <c r="B533">
        <v>35</v>
      </c>
      <c r="C533">
        <v>4</v>
      </c>
      <c r="D533">
        <v>26</v>
      </c>
      <c r="E533">
        <v>104</v>
      </c>
      <c r="F533">
        <v>179</v>
      </c>
      <c r="G533" s="1">
        <v>45506</v>
      </c>
      <c r="H533" t="s">
        <v>11</v>
      </c>
      <c r="I533">
        <v>2024</v>
      </c>
      <c r="J533">
        <v>8</v>
      </c>
    </row>
    <row r="534" spans="1:10" x14ac:dyDescent="0.3">
      <c r="A534">
        <v>111</v>
      </c>
      <c r="B534">
        <v>43</v>
      </c>
      <c r="C534">
        <v>3</v>
      </c>
      <c r="D534">
        <v>83</v>
      </c>
      <c r="E534">
        <v>249</v>
      </c>
      <c r="F534">
        <v>179</v>
      </c>
      <c r="G534" s="1">
        <v>45506</v>
      </c>
      <c r="H534" t="s">
        <v>11</v>
      </c>
      <c r="I534">
        <v>2024</v>
      </c>
      <c r="J534">
        <v>8</v>
      </c>
    </row>
    <row r="535" spans="1:10" x14ac:dyDescent="0.3">
      <c r="A535">
        <v>111</v>
      </c>
      <c r="B535">
        <v>7</v>
      </c>
      <c r="C535">
        <v>4</v>
      </c>
      <c r="D535">
        <v>72</v>
      </c>
      <c r="E535">
        <v>288</v>
      </c>
      <c r="F535">
        <v>179</v>
      </c>
      <c r="G535" s="1">
        <v>45506</v>
      </c>
      <c r="H535" t="s">
        <v>11</v>
      </c>
      <c r="I535">
        <v>2024</v>
      </c>
      <c r="J535">
        <v>8</v>
      </c>
    </row>
    <row r="536" spans="1:10" x14ac:dyDescent="0.3">
      <c r="A536">
        <v>614</v>
      </c>
      <c r="B536">
        <v>12</v>
      </c>
      <c r="C536">
        <v>4</v>
      </c>
      <c r="D536">
        <v>49</v>
      </c>
      <c r="E536">
        <v>196</v>
      </c>
      <c r="F536">
        <v>197</v>
      </c>
      <c r="G536" s="1">
        <v>45413</v>
      </c>
      <c r="H536" t="s">
        <v>11</v>
      </c>
      <c r="I536">
        <v>2024</v>
      </c>
      <c r="J536">
        <v>5</v>
      </c>
    </row>
    <row r="537" spans="1:10" x14ac:dyDescent="0.3">
      <c r="A537">
        <v>614</v>
      </c>
      <c r="B537">
        <v>39</v>
      </c>
      <c r="C537">
        <v>5</v>
      </c>
      <c r="D537">
        <v>22</v>
      </c>
      <c r="E537">
        <v>110</v>
      </c>
      <c r="F537">
        <v>197</v>
      </c>
      <c r="G537" s="1">
        <v>45413</v>
      </c>
      <c r="H537" t="s">
        <v>11</v>
      </c>
      <c r="I537">
        <v>2024</v>
      </c>
      <c r="J537">
        <v>5</v>
      </c>
    </row>
    <row r="538" spans="1:10" x14ac:dyDescent="0.3">
      <c r="A538">
        <v>17</v>
      </c>
      <c r="B538">
        <v>41</v>
      </c>
      <c r="C538">
        <v>2</v>
      </c>
      <c r="D538">
        <v>58</v>
      </c>
      <c r="E538">
        <v>116</v>
      </c>
      <c r="F538">
        <v>192</v>
      </c>
      <c r="G538" s="1">
        <v>45346</v>
      </c>
      <c r="H538" t="s">
        <v>11</v>
      </c>
      <c r="I538">
        <v>2024</v>
      </c>
      <c r="J538">
        <v>2</v>
      </c>
    </row>
    <row r="539" spans="1:10" x14ac:dyDescent="0.3">
      <c r="A539">
        <v>17</v>
      </c>
      <c r="B539">
        <v>48</v>
      </c>
      <c r="C539">
        <v>3</v>
      </c>
      <c r="D539">
        <v>111</v>
      </c>
      <c r="E539">
        <v>333</v>
      </c>
      <c r="F539">
        <v>192</v>
      </c>
      <c r="G539" s="1">
        <v>45346</v>
      </c>
      <c r="H539" t="s">
        <v>11</v>
      </c>
      <c r="I539">
        <v>2024</v>
      </c>
      <c r="J539">
        <v>2</v>
      </c>
    </row>
    <row r="540" spans="1:10" x14ac:dyDescent="0.3">
      <c r="A540">
        <v>17</v>
      </c>
      <c r="B540">
        <v>35</v>
      </c>
      <c r="C540">
        <v>2</v>
      </c>
      <c r="D540">
        <v>31</v>
      </c>
      <c r="E540">
        <v>62</v>
      </c>
      <c r="F540">
        <v>192</v>
      </c>
      <c r="G540" s="1">
        <v>45346</v>
      </c>
      <c r="H540" t="s">
        <v>11</v>
      </c>
      <c r="I540">
        <v>2024</v>
      </c>
      <c r="J540">
        <v>2</v>
      </c>
    </row>
    <row r="541" spans="1:10" x14ac:dyDescent="0.3">
      <c r="A541">
        <v>17</v>
      </c>
      <c r="B541">
        <v>35</v>
      </c>
      <c r="C541">
        <v>5</v>
      </c>
      <c r="D541">
        <v>40</v>
      </c>
      <c r="E541">
        <v>200</v>
      </c>
      <c r="F541">
        <v>192</v>
      </c>
      <c r="G541" s="1">
        <v>45346</v>
      </c>
      <c r="H541" t="s">
        <v>11</v>
      </c>
      <c r="I541">
        <v>2024</v>
      </c>
      <c r="J541">
        <v>2</v>
      </c>
    </row>
    <row r="542" spans="1:10" x14ac:dyDescent="0.3">
      <c r="A542">
        <v>780</v>
      </c>
      <c r="B542">
        <v>44</v>
      </c>
      <c r="C542">
        <v>2</v>
      </c>
      <c r="D542">
        <v>94</v>
      </c>
      <c r="E542">
        <v>188</v>
      </c>
      <c r="F542">
        <v>229</v>
      </c>
      <c r="G542" s="1">
        <v>45399</v>
      </c>
      <c r="H542" t="s">
        <v>11</v>
      </c>
      <c r="I542">
        <v>2024</v>
      </c>
      <c r="J542">
        <v>4</v>
      </c>
    </row>
    <row r="543" spans="1:10" x14ac:dyDescent="0.3">
      <c r="A543">
        <v>780</v>
      </c>
      <c r="B543">
        <v>2</v>
      </c>
      <c r="C543">
        <v>2</v>
      </c>
      <c r="D543">
        <v>94</v>
      </c>
      <c r="E543">
        <v>188</v>
      </c>
      <c r="F543">
        <v>229</v>
      </c>
      <c r="G543" s="1">
        <v>45399</v>
      </c>
      <c r="H543" t="s">
        <v>11</v>
      </c>
      <c r="I543">
        <v>2024</v>
      </c>
      <c r="J543">
        <v>4</v>
      </c>
    </row>
    <row r="544" spans="1:10" x14ac:dyDescent="0.3">
      <c r="A544">
        <v>780</v>
      </c>
      <c r="B544">
        <v>27</v>
      </c>
      <c r="C544">
        <v>2</v>
      </c>
      <c r="D544">
        <v>61</v>
      </c>
      <c r="E544">
        <v>122</v>
      </c>
      <c r="F544">
        <v>229</v>
      </c>
      <c r="G544" s="1">
        <v>45399</v>
      </c>
      <c r="H544" t="s">
        <v>11</v>
      </c>
      <c r="I544">
        <v>2024</v>
      </c>
      <c r="J544">
        <v>4</v>
      </c>
    </row>
    <row r="545" spans="1:10" x14ac:dyDescent="0.3">
      <c r="A545">
        <v>182</v>
      </c>
      <c r="B545">
        <v>26</v>
      </c>
      <c r="C545">
        <v>1</v>
      </c>
      <c r="D545">
        <v>66</v>
      </c>
      <c r="E545">
        <v>66</v>
      </c>
      <c r="F545">
        <v>198</v>
      </c>
      <c r="G545" s="1">
        <v>45445</v>
      </c>
      <c r="H545" t="s">
        <v>11</v>
      </c>
      <c r="I545">
        <v>2024</v>
      </c>
      <c r="J545">
        <v>6</v>
      </c>
    </row>
    <row r="546" spans="1:10" x14ac:dyDescent="0.3">
      <c r="A546">
        <v>182</v>
      </c>
      <c r="B546">
        <v>48</v>
      </c>
      <c r="C546">
        <v>3</v>
      </c>
      <c r="D546">
        <v>90</v>
      </c>
      <c r="E546">
        <v>270</v>
      </c>
      <c r="F546">
        <v>198</v>
      </c>
      <c r="G546" s="1">
        <v>45445</v>
      </c>
      <c r="H546" t="s">
        <v>11</v>
      </c>
      <c r="I546">
        <v>2024</v>
      </c>
      <c r="J546">
        <v>6</v>
      </c>
    </row>
    <row r="547" spans="1:10" x14ac:dyDescent="0.3">
      <c r="A547">
        <v>182</v>
      </c>
      <c r="B547">
        <v>20</v>
      </c>
      <c r="C547">
        <v>3</v>
      </c>
      <c r="D547">
        <v>106</v>
      </c>
      <c r="E547">
        <v>318</v>
      </c>
      <c r="F547">
        <v>198</v>
      </c>
      <c r="G547" s="1">
        <v>45445</v>
      </c>
      <c r="H547" t="s">
        <v>11</v>
      </c>
      <c r="I547">
        <v>2024</v>
      </c>
      <c r="J547">
        <v>6</v>
      </c>
    </row>
    <row r="548" spans="1:10" x14ac:dyDescent="0.3">
      <c r="A548">
        <v>884</v>
      </c>
      <c r="B548">
        <v>47</v>
      </c>
      <c r="C548">
        <v>3</v>
      </c>
      <c r="D548">
        <v>96</v>
      </c>
      <c r="E548">
        <v>288</v>
      </c>
      <c r="F548">
        <v>67</v>
      </c>
      <c r="G548" s="1">
        <v>45380</v>
      </c>
      <c r="H548" t="s">
        <v>11</v>
      </c>
      <c r="I548">
        <v>2024</v>
      </c>
      <c r="J548">
        <v>3</v>
      </c>
    </row>
    <row r="549" spans="1:10" x14ac:dyDescent="0.3">
      <c r="A549">
        <v>884</v>
      </c>
      <c r="B549">
        <v>37</v>
      </c>
      <c r="C549">
        <v>2</v>
      </c>
      <c r="D549">
        <v>49</v>
      </c>
      <c r="E549">
        <v>98</v>
      </c>
      <c r="F549">
        <v>67</v>
      </c>
      <c r="G549" s="1">
        <v>45380</v>
      </c>
      <c r="H549" t="s">
        <v>11</v>
      </c>
      <c r="I549">
        <v>2024</v>
      </c>
      <c r="J549">
        <v>3</v>
      </c>
    </row>
    <row r="550" spans="1:10" x14ac:dyDescent="0.3">
      <c r="A550">
        <v>884</v>
      </c>
      <c r="B550">
        <v>29</v>
      </c>
      <c r="C550">
        <v>5</v>
      </c>
      <c r="D550">
        <v>115</v>
      </c>
      <c r="E550">
        <v>575</v>
      </c>
      <c r="F550">
        <v>67</v>
      </c>
      <c r="G550" s="1">
        <v>45380</v>
      </c>
      <c r="H550" t="s">
        <v>11</v>
      </c>
      <c r="I550">
        <v>2024</v>
      </c>
      <c r="J550">
        <v>3</v>
      </c>
    </row>
    <row r="551" spans="1:10" x14ac:dyDescent="0.3">
      <c r="A551">
        <v>171</v>
      </c>
      <c r="B551">
        <v>31</v>
      </c>
      <c r="C551">
        <v>2</v>
      </c>
      <c r="D551">
        <v>84</v>
      </c>
      <c r="E551">
        <v>168</v>
      </c>
      <c r="F551">
        <v>130</v>
      </c>
      <c r="G551" s="1">
        <v>45603</v>
      </c>
      <c r="H551" t="s">
        <v>11</v>
      </c>
      <c r="I551">
        <v>2024</v>
      </c>
      <c r="J551">
        <v>11</v>
      </c>
    </row>
    <row r="552" spans="1:10" x14ac:dyDescent="0.3">
      <c r="A552">
        <v>171</v>
      </c>
      <c r="B552">
        <v>5</v>
      </c>
      <c r="C552">
        <v>4</v>
      </c>
      <c r="D552">
        <v>114</v>
      </c>
      <c r="E552">
        <v>456</v>
      </c>
      <c r="F552">
        <v>130</v>
      </c>
      <c r="G552" s="1">
        <v>45603</v>
      </c>
      <c r="H552" t="s">
        <v>11</v>
      </c>
      <c r="I552">
        <v>2024</v>
      </c>
      <c r="J552">
        <v>11</v>
      </c>
    </row>
    <row r="553" spans="1:10" x14ac:dyDescent="0.3">
      <c r="A553">
        <v>171</v>
      </c>
      <c r="B553">
        <v>21</v>
      </c>
      <c r="C553">
        <v>1</v>
      </c>
      <c r="D553">
        <v>36</v>
      </c>
      <c r="E553">
        <v>36</v>
      </c>
      <c r="F553">
        <v>130</v>
      </c>
      <c r="G553" s="1">
        <v>45603</v>
      </c>
      <c r="H553" t="s">
        <v>11</v>
      </c>
      <c r="I553">
        <v>2024</v>
      </c>
      <c r="J553">
        <v>11</v>
      </c>
    </row>
    <row r="554" spans="1:10" x14ac:dyDescent="0.3">
      <c r="A554">
        <v>409</v>
      </c>
      <c r="B554">
        <v>50</v>
      </c>
      <c r="C554">
        <v>5</v>
      </c>
      <c r="D554">
        <v>66</v>
      </c>
      <c r="E554">
        <v>330</v>
      </c>
      <c r="F554">
        <v>16</v>
      </c>
      <c r="G554" s="1">
        <v>45438</v>
      </c>
      <c r="H554" t="s">
        <v>11</v>
      </c>
      <c r="I554">
        <v>2024</v>
      </c>
      <c r="J554">
        <v>5</v>
      </c>
    </row>
    <row r="555" spans="1:10" x14ac:dyDescent="0.3">
      <c r="A555">
        <v>409</v>
      </c>
      <c r="B555">
        <v>25</v>
      </c>
      <c r="C555">
        <v>1</v>
      </c>
      <c r="D555">
        <v>56</v>
      </c>
      <c r="E555">
        <v>56</v>
      </c>
      <c r="F555">
        <v>16</v>
      </c>
      <c r="G555" s="1">
        <v>45438</v>
      </c>
      <c r="H555" t="s">
        <v>11</v>
      </c>
      <c r="I555">
        <v>2024</v>
      </c>
      <c r="J555">
        <v>5</v>
      </c>
    </row>
    <row r="556" spans="1:10" x14ac:dyDescent="0.3">
      <c r="A556">
        <v>409</v>
      </c>
      <c r="B556">
        <v>32</v>
      </c>
      <c r="C556">
        <v>5</v>
      </c>
      <c r="D556">
        <v>12</v>
      </c>
      <c r="E556">
        <v>60</v>
      </c>
      <c r="F556">
        <v>16</v>
      </c>
      <c r="G556" s="1">
        <v>45438</v>
      </c>
      <c r="H556" t="s">
        <v>11</v>
      </c>
      <c r="I556">
        <v>2024</v>
      </c>
      <c r="J556">
        <v>5</v>
      </c>
    </row>
    <row r="557" spans="1:10" x14ac:dyDescent="0.3">
      <c r="A557">
        <v>740</v>
      </c>
      <c r="B557">
        <v>20</v>
      </c>
      <c r="C557">
        <v>5</v>
      </c>
      <c r="D557">
        <v>107</v>
      </c>
      <c r="E557">
        <v>535</v>
      </c>
      <c r="F557">
        <v>238</v>
      </c>
      <c r="G557" s="1">
        <v>45636</v>
      </c>
      <c r="H557" t="s">
        <v>11</v>
      </c>
      <c r="I557">
        <v>2024</v>
      </c>
      <c r="J557">
        <v>12</v>
      </c>
    </row>
    <row r="558" spans="1:10" x14ac:dyDescent="0.3">
      <c r="A558">
        <v>740</v>
      </c>
      <c r="B558">
        <v>41</v>
      </c>
      <c r="C558">
        <v>5</v>
      </c>
      <c r="D558">
        <v>79</v>
      </c>
      <c r="E558">
        <v>395</v>
      </c>
      <c r="F558">
        <v>238</v>
      </c>
      <c r="G558" s="1">
        <v>45636</v>
      </c>
      <c r="H558" t="s">
        <v>11</v>
      </c>
      <c r="I558">
        <v>2024</v>
      </c>
      <c r="J558">
        <v>12</v>
      </c>
    </row>
    <row r="559" spans="1:10" x14ac:dyDescent="0.3">
      <c r="A559">
        <v>740</v>
      </c>
      <c r="B559">
        <v>24</v>
      </c>
      <c r="C559">
        <v>3</v>
      </c>
      <c r="D559">
        <v>32</v>
      </c>
      <c r="E559">
        <v>96</v>
      </c>
      <c r="F559">
        <v>238</v>
      </c>
      <c r="G559" s="1">
        <v>45636</v>
      </c>
      <c r="H559" t="s">
        <v>11</v>
      </c>
      <c r="I559">
        <v>2024</v>
      </c>
      <c r="J559">
        <v>12</v>
      </c>
    </row>
    <row r="560" spans="1:10" x14ac:dyDescent="0.3">
      <c r="A560">
        <v>378</v>
      </c>
      <c r="B560">
        <v>12</v>
      </c>
      <c r="C560">
        <v>1</v>
      </c>
      <c r="D560">
        <v>83</v>
      </c>
      <c r="E560">
        <v>83</v>
      </c>
      <c r="F560">
        <v>76</v>
      </c>
      <c r="G560" s="1">
        <v>45552</v>
      </c>
      <c r="H560" t="s">
        <v>11</v>
      </c>
      <c r="I560">
        <v>2024</v>
      </c>
      <c r="J560">
        <v>9</v>
      </c>
    </row>
    <row r="561" spans="1:10" x14ac:dyDescent="0.3">
      <c r="A561">
        <v>378</v>
      </c>
      <c r="B561">
        <v>42</v>
      </c>
      <c r="C561">
        <v>3</v>
      </c>
      <c r="D561">
        <v>40</v>
      </c>
      <c r="E561">
        <v>120</v>
      </c>
      <c r="F561">
        <v>76</v>
      </c>
      <c r="G561" s="1">
        <v>45552</v>
      </c>
      <c r="H561" t="s">
        <v>11</v>
      </c>
      <c r="I561">
        <v>2024</v>
      </c>
      <c r="J561">
        <v>9</v>
      </c>
    </row>
    <row r="562" spans="1:10" x14ac:dyDescent="0.3">
      <c r="A562">
        <v>378</v>
      </c>
      <c r="B562">
        <v>41</v>
      </c>
      <c r="C562">
        <v>5</v>
      </c>
      <c r="D562">
        <v>52</v>
      </c>
      <c r="E562">
        <v>260</v>
      </c>
      <c r="F562">
        <v>76</v>
      </c>
      <c r="G562" s="1">
        <v>45552</v>
      </c>
      <c r="H562" t="s">
        <v>11</v>
      </c>
      <c r="I562">
        <v>2024</v>
      </c>
      <c r="J562">
        <v>9</v>
      </c>
    </row>
    <row r="563" spans="1:10" x14ac:dyDescent="0.3">
      <c r="A563">
        <v>188</v>
      </c>
      <c r="B563">
        <v>23</v>
      </c>
      <c r="C563">
        <v>1</v>
      </c>
      <c r="D563">
        <v>83</v>
      </c>
      <c r="E563">
        <v>83</v>
      </c>
      <c r="F563">
        <v>294</v>
      </c>
      <c r="G563" s="1">
        <v>45508</v>
      </c>
      <c r="H563" t="s">
        <v>11</v>
      </c>
      <c r="I563">
        <v>2024</v>
      </c>
      <c r="J563">
        <v>8</v>
      </c>
    </row>
    <row r="564" spans="1:10" x14ac:dyDescent="0.3">
      <c r="A564">
        <v>188</v>
      </c>
      <c r="B564">
        <v>21</v>
      </c>
      <c r="C564">
        <v>1</v>
      </c>
      <c r="D564">
        <v>115</v>
      </c>
      <c r="E564">
        <v>115</v>
      </c>
      <c r="F564">
        <v>294</v>
      </c>
      <c r="G564" s="1">
        <v>45508</v>
      </c>
      <c r="H564" t="s">
        <v>11</v>
      </c>
      <c r="I564">
        <v>2024</v>
      </c>
      <c r="J564">
        <v>8</v>
      </c>
    </row>
    <row r="565" spans="1:10" x14ac:dyDescent="0.3">
      <c r="A565">
        <v>858</v>
      </c>
      <c r="B565">
        <v>4</v>
      </c>
      <c r="C565">
        <v>3</v>
      </c>
      <c r="D565">
        <v>116</v>
      </c>
      <c r="E565">
        <v>348</v>
      </c>
      <c r="F565">
        <v>5</v>
      </c>
      <c r="G565" s="1">
        <v>45483</v>
      </c>
      <c r="H565" t="s">
        <v>11</v>
      </c>
      <c r="I565">
        <v>2024</v>
      </c>
      <c r="J565">
        <v>7</v>
      </c>
    </row>
    <row r="566" spans="1:10" x14ac:dyDescent="0.3">
      <c r="A566">
        <v>858</v>
      </c>
      <c r="B566">
        <v>14</v>
      </c>
      <c r="C566">
        <v>1</v>
      </c>
      <c r="D566">
        <v>60</v>
      </c>
      <c r="E566">
        <v>60</v>
      </c>
      <c r="F566">
        <v>5</v>
      </c>
      <c r="G566" s="1">
        <v>45483</v>
      </c>
      <c r="H566" t="s">
        <v>11</v>
      </c>
      <c r="I566">
        <v>2024</v>
      </c>
      <c r="J566">
        <v>7</v>
      </c>
    </row>
    <row r="567" spans="1:10" x14ac:dyDescent="0.3">
      <c r="A567">
        <v>858</v>
      </c>
      <c r="B567">
        <v>10</v>
      </c>
      <c r="C567">
        <v>2</v>
      </c>
      <c r="D567">
        <v>70</v>
      </c>
      <c r="E567">
        <v>140</v>
      </c>
      <c r="F567">
        <v>5</v>
      </c>
      <c r="G567" s="1">
        <v>45483</v>
      </c>
      <c r="H567" t="s">
        <v>11</v>
      </c>
      <c r="I567">
        <v>2024</v>
      </c>
      <c r="J567">
        <v>7</v>
      </c>
    </row>
    <row r="568" spans="1:10" x14ac:dyDescent="0.3">
      <c r="A568">
        <v>858</v>
      </c>
      <c r="B568">
        <v>44</v>
      </c>
      <c r="C568">
        <v>1</v>
      </c>
      <c r="D568">
        <v>52</v>
      </c>
      <c r="E568">
        <v>52</v>
      </c>
      <c r="F568">
        <v>5</v>
      </c>
      <c r="G568" s="1">
        <v>45483</v>
      </c>
      <c r="H568" t="s">
        <v>11</v>
      </c>
      <c r="I568">
        <v>2024</v>
      </c>
      <c r="J568">
        <v>7</v>
      </c>
    </row>
    <row r="569" spans="1:10" x14ac:dyDescent="0.3">
      <c r="A569">
        <v>230</v>
      </c>
      <c r="B569">
        <v>23</v>
      </c>
      <c r="C569">
        <v>2</v>
      </c>
      <c r="D569">
        <v>79</v>
      </c>
      <c r="E569">
        <v>158</v>
      </c>
      <c r="F569">
        <v>161</v>
      </c>
      <c r="G569" s="1">
        <v>45579</v>
      </c>
      <c r="H569" t="s">
        <v>11</v>
      </c>
      <c r="I569">
        <v>2024</v>
      </c>
      <c r="J569">
        <v>10</v>
      </c>
    </row>
    <row r="570" spans="1:10" x14ac:dyDescent="0.3">
      <c r="A570">
        <v>230</v>
      </c>
      <c r="B570">
        <v>19</v>
      </c>
      <c r="C570">
        <v>3</v>
      </c>
      <c r="D570">
        <v>32</v>
      </c>
      <c r="E570">
        <v>96</v>
      </c>
      <c r="F570">
        <v>161</v>
      </c>
      <c r="G570" s="1">
        <v>45579</v>
      </c>
      <c r="H570" t="s">
        <v>11</v>
      </c>
      <c r="I570">
        <v>2024</v>
      </c>
      <c r="J570">
        <v>10</v>
      </c>
    </row>
    <row r="571" spans="1:10" x14ac:dyDescent="0.3">
      <c r="A571">
        <v>230</v>
      </c>
      <c r="B571">
        <v>48</v>
      </c>
      <c r="C571">
        <v>3</v>
      </c>
      <c r="D571">
        <v>87</v>
      </c>
      <c r="E571">
        <v>261</v>
      </c>
      <c r="F571">
        <v>161</v>
      </c>
      <c r="G571" s="1">
        <v>45579</v>
      </c>
      <c r="H571" t="s">
        <v>11</v>
      </c>
      <c r="I571">
        <v>2024</v>
      </c>
      <c r="J571">
        <v>10</v>
      </c>
    </row>
    <row r="572" spans="1:10" x14ac:dyDescent="0.3">
      <c r="A572">
        <v>833</v>
      </c>
      <c r="B572">
        <v>48</v>
      </c>
      <c r="C572">
        <v>4</v>
      </c>
      <c r="D572">
        <v>109</v>
      </c>
      <c r="E572">
        <v>436</v>
      </c>
      <c r="F572">
        <v>13</v>
      </c>
      <c r="G572" s="1">
        <v>45484</v>
      </c>
      <c r="H572" t="s">
        <v>11</v>
      </c>
      <c r="I572">
        <v>2024</v>
      </c>
      <c r="J572">
        <v>7</v>
      </c>
    </row>
    <row r="573" spans="1:10" x14ac:dyDescent="0.3">
      <c r="A573">
        <v>833</v>
      </c>
      <c r="B573">
        <v>14</v>
      </c>
      <c r="C573">
        <v>5</v>
      </c>
      <c r="D573">
        <v>106</v>
      </c>
      <c r="E573">
        <v>530</v>
      </c>
      <c r="F573">
        <v>13</v>
      </c>
      <c r="G573" s="1">
        <v>45484</v>
      </c>
      <c r="H573" t="s">
        <v>11</v>
      </c>
      <c r="I573">
        <v>2024</v>
      </c>
      <c r="J573">
        <v>7</v>
      </c>
    </row>
    <row r="574" spans="1:10" x14ac:dyDescent="0.3">
      <c r="A574">
        <v>833</v>
      </c>
      <c r="B574">
        <v>42</v>
      </c>
      <c r="C574">
        <v>5</v>
      </c>
      <c r="D574">
        <v>86</v>
      </c>
      <c r="E574">
        <v>430</v>
      </c>
      <c r="F574">
        <v>13</v>
      </c>
      <c r="G574" s="1">
        <v>45484</v>
      </c>
      <c r="H574" t="s">
        <v>11</v>
      </c>
      <c r="I574">
        <v>2024</v>
      </c>
      <c r="J574">
        <v>7</v>
      </c>
    </row>
    <row r="575" spans="1:10" x14ac:dyDescent="0.3">
      <c r="A575">
        <v>833</v>
      </c>
      <c r="B575">
        <v>27</v>
      </c>
      <c r="C575">
        <v>1</v>
      </c>
      <c r="D575">
        <v>23</v>
      </c>
      <c r="E575">
        <v>23</v>
      </c>
      <c r="F575">
        <v>13</v>
      </c>
      <c r="G575" s="1">
        <v>45484</v>
      </c>
      <c r="H575" t="s">
        <v>11</v>
      </c>
      <c r="I575">
        <v>2024</v>
      </c>
      <c r="J575">
        <v>7</v>
      </c>
    </row>
    <row r="576" spans="1:10" x14ac:dyDescent="0.3">
      <c r="A576">
        <v>833</v>
      </c>
      <c r="B576">
        <v>30</v>
      </c>
      <c r="C576">
        <v>5</v>
      </c>
      <c r="D576">
        <v>79</v>
      </c>
      <c r="E576">
        <v>395</v>
      </c>
      <c r="F576">
        <v>13</v>
      </c>
      <c r="G576" s="1">
        <v>45484</v>
      </c>
      <c r="H576" t="s">
        <v>11</v>
      </c>
      <c r="I576">
        <v>2024</v>
      </c>
      <c r="J576">
        <v>7</v>
      </c>
    </row>
    <row r="577" spans="1:10" x14ac:dyDescent="0.3">
      <c r="A577">
        <v>833</v>
      </c>
      <c r="B577">
        <v>23</v>
      </c>
      <c r="C577">
        <v>1</v>
      </c>
      <c r="D577">
        <v>83</v>
      </c>
      <c r="E577">
        <v>83</v>
      </c>
      <c r="F577">
        <v>13</v>
      </c>
      <c r="G577" s="1">
        <v>45484</v>
      </c>
      <c r="H577" t="s">
        <v>11</v>
      </c>
      <c r="I577">
        <v>2024</v>
      </c>
      <c r="J577">
        <v>7</v>
      </c>
    </row>
    <row r="578" spans="1:10" x14ac:dyDescent="0.3">
      <c r="A578">
        <v>833</v>
      </c>
      <c r="B578">
        <v>40</v>
      </c>
      <c r="C578">
        <v>3</v>
      </c>
      <c r="D578">
        <v>64</v>
      </c>
      <c r="E578">
        <v>192</v>
      </c>
      <c r="F578">
        <v>13</v>
      </c>
      <c r="G578" s="1">
        <v>45484</v>
      </c>
      <c r="H578" t="s">
        <v>11</v>
      </c>
      <c r="I578">
        <v>2024</v>
      </c>
      <c r="J578">
        <v>7</v>
      </c>
    </row>
    <row r="579" spans="1:10" x14ac:dyDescent="0.3">
      <c r="A579">
        <v>119</v>
      </c>
      <c r="B579">
        <v>1</v>
      </c>
      <c r="C579">
        <v>4</v>
      </c>
      <c r="D579">
        <v>85</v>
      </c>
      <c r="E579">
        <v>340</v>
      </c>
      <c r="F579">
        <v>237</v>
      </c>
      <c r="G579" s="1">
        <v>45647</v>
      </c>
      <c r="H579" t="s">
        <v>11</v>
      </c>
      <c r="I579">
        <v>2024</v>
      </c>
      <c r="J579">
        <v>12</v>
      </c>
    </row>
    <row r="580" spans="1:10" x14ac:dyDescent="0.3">
      <c r="A580">
        <v>156</v>
      </c>
      <c r="B580">
        <v>25</v>
      </c>
      <c r="C580">
        <v>4</v>
      </c>
      <c r="D580">
        <v>52</v>
      </c>
      <c r="E580">
        <v>208</v>
      </c>
      <c r="F580">
        <v>160</v>
      </c>
      <c r="G580" s="1">
        <v>45587</v>
      </c>
      <c r="H580" t="s">
        <v>11</v>
      </c>
      <c r="I580">
        <v>2024</v>
      </c>
      <c r="J580">
        <v>10</v>
      </c>
    </row>
    <row r="581" spans="1:10" x14ac:dyDescent="0.3">
      <c r="A581">
        <v>156</v>
      </c>
      <c r="B581">
        <v>17</v>
      </c>
      <c r="C581">
        <v>1</v>
      </c>
      <c r="D581">
        <v>108</v>
      </c>
      <c r="E581">
        <v>108</v>
      </c>
      <c r="F581">
        <v>160</v>
      </c>
      <c r="G581" s="1">
        <v>45587</v>
      </c>
      <c r="H581" t="s">
        <v>11</v>
      </c>
      <c r="I581">
        <v>2024</v>
      </c>
      <c r="J581">
        <v>10</v>
      </c>
    </row>
    <row r="582" spans="1:10" x14ac:dyDescent="0.3">
      <c r="A582">
        <v>156</v>
      </c>
      <c r="B582">
        <v>16</v>
      </c>
      <c r="C582">
        <v>4</v>
      </c>
      <c r="D582">
        <v>53</v>
      </c>
      <c r="E582">
        <v>212</v>
      </c>
      <c r="F582">
        <v>160</v>
      </c>
      <c r="G582" s="1">
        <v>45587</v>
      </c>
      <c r="H582" t="s">
        <v>11</v>
      </c>
      <c r="I582">
        <v>2024</v>
      </c>
      <c r="J582">
        <v>10</v>
      </c>
    </row>
    <row r="583" spans="1:10" x14ac:dyDescent="0.3">
      <c r="A583">
        <v>156</v>
      </c>
      <c r="B583">
        <v>36</v>
      </c>
      <c r="C583">
        <v>3</v>
      </c>
      <c r="D583">
        <v>105</v>
      </c>
      <c r="E583">
        <v>315</v>
      </c>
      <c r="F583">
        <v>160</v>
      </c>
      <c r="G583" s="1">
        <v>45587</v>
      </c>
      <c r="H583" t="s">
        <v>11</v>
      </c>
      <c r="I583">
        <v>2024</v>
      </c>
      <c r="J583">
        <v>10</v>
      </c>
    </row>
    <row r="584" spans="1:10" x14ac:dyDescent="0.3">
      <c r="A584">
        <v>784</v>
      </c>
      <c r="B584">
        <v>2</v>
      </c>
      <c r="C584">
        <v>2</v>
      </c>
      <c r="D584">
        <v>32</v>
      </c>
      <c r="E584">
        <v>64</v>
      </c>
      <c r="F584">
        <v>198</v>
      </c>
      <c r="G584" s="1">
        <v>45584</v>
      </c>
      <c r="H584" t="s">
        <v>11</v>
      </c>
      <c r="I584">
        <v>2024</v>
      </c>
      <c r="J584">
        <v>10</v>
      </c>
    </row>
    <row r="585" spans="1:10" x14ac:dyDescent="0.3">
      <c r="A585">
        <v>784</v>
      </c>
      <c r="B585">
        <v>17</v>
      </c>
      <c r="C585">
        <v>1</v>
      </c>
      <c r="D585">
        <v>17</v>
      </c>
      <c r="E585">
        <v>17</v>
      </c>
      <c r="F585">
        <v>198</v>
      </c>
      <c r="G585" s="1">
        <v>45584</v>
      </c>
      <c r="H585" t="s">
        <v>11</v>
      </c>
      <c r="I585">
        <v>2024</v>
      </c>
      <c r="J585">
        <v>10</v>
      </c>
    </row>
    <row r="586" spans="1:10" x14ac:dyDescent="0.3">
      <c r="A586">
        <v>687</v>
      </c>
      <c r="B586">
        <v>30</v>
      </c>
      <c r="C586">
        <v>3</v>
      </c>
      <c r="D586">
        <v>36</v>
      </c>
      <c r="E586">
        <v>108</v>
      </c>
      <c r="F586">
        <v>195</v>
      </c>
      <c r="G586" s="1">
        <v>45315</v>
      </c>
      <c r="H586" t="s">
        <v>11</v>
      </c>
      <c r="I586">
        <v>2024</v>
      </c>
      <c r="J586">
        <v>1</v>
      </c>
    </row>
    <row r="587" spans="1:10" x14ac:dyDescent="0.3">
      <c r="A587">
        <v>687</v>
      </c>
      <c r="B587">
        <v>8</v>
      </c>
      <c r="C587">
        <v>3</v>
      </c>
      <c r="D587">
        <v>23</v>
      </c>
      <c r="E587">
        <v>69</v>
      </c>
      <c r="F587">
        <v>195</v>
      </c>
      <c r="G587" s="1">
        <v>45315</v>
      </c>
      <c r="H587" t="s">
        <v>11</v>
      </c>
      <c r="I587">
        <v>2024</v>
      </c>
      <c r="J587">
        <v>1</v>
      </c>
    </row>
    <row r="588" spans="1:10" x14ac:dyDescent="0.3">
      <c r="A588">
        <v>465</v>
      </c>
      <c r="B588">
        <v>3</v>
      </c>
      <c r="C588">
        <v>2</v>
      </c>
      <c r="D588">
        <v>67</v>
      </c>
      <c r="E588">
        <v>134</v>
      </c>
      <c r="F588">
        <v>217</v>
      </c>
      <c r="G588" s="1">
        <v>45610</v>
      </c>
      <c r="H588" t="s">
        <v>11</v>
      </c>
      <c r="I588">
        <v>2024</v>
      </c>
      <c r="J588">
        <v>11</v>
      </c>
    </row>
    <row r="589" spans="1:10" x14ac:dyDescent="0.3">
      <c r="A589">
        <v>465</v>
      </c>
      <c r="B589">
        <v>1</v>
      </c>
      <c r="C589">
        <v>1</v>
      </c>
      <c r="D589">
        <v>37</v>
      </c>
      <c r="E589">
        <v>37</v>
      </c>
      <c r="F589">
        <v>217</v>
      </c>
      <c r="G589" s="1">
        <v>45610</v>
      </c>
      <c r="H589" t="s">
        <v>11</v>
      </c>
      <c r="I589">
        <v>2024</v>
      </c>
      <c r="J589">
        <v>11</v>
      </c>
    </row>
    <row r="590" spans="1:10" x14ac:dyDescent="0.3">
      <c r="A590">
        <v>465</v>
      </c>
      <c r="B590">
        <v>49</v>
      </c>
      <c r="C590">
        <v>1</v>
      </c>
      <c r="D590">
        <v>51</v>
      </c>
      <c r="E590">
        <v>51</v>
      </c>
      <c r="F590">
        <v>217</v>
      </c>
      <c r="G590" s="1">
        <v>45610</v>
      </c>
      <c r="H590" t="s">
        <v>11</v>
      </c>
      <c r="I590">
        <v>2024</v>
      </c>
      <c r="J590">
        <v>11</v>
      </c>
    </row>
    <row r="591" spans="1:10" x14ac:dyDescent="0.3">
      <c r="A591">
        <v>604</v>
      </c>
      <c r="B591">
        <v>25</v>
      </c>
      <c r="C591">
        <v>4</v>
      </c>
      <c r="D591">
        <v>46</v>
      </c>
      <c r="E591">
        <v>184</v>
      </c>
      <c r="F591">
        <v>267</v>
      </c>
      <c r="G591" s="1">
        <v>45524</v>
      </c>
      <c r="H591" t="s">
        <v>11</v>
      </c>
      <c r="I591">
        <v>2024</v>
      </c>
      <c r="J591">
        <v>8</v>
      </c>
    </row>
    <row r="592" spans="1:10" x14ac:dyDescent="0.3">
      <c r="A592">
        <v>795</v>
      </c>
      <c r="B592">
        <v>22</v>
      </c>
      <c r="C592">
        <v>2</v>
      </c>
      <c r="D592">
        <v>15</v>
      </c>
      <c r="E592">
        <v>30</v>
      </c>
      <c r="F592">
        <v>229</v>
      </c>
      <c r="G592" s="1">
        <v>45452</v>
      </c>
      <c r="H592" t="s">
        <v>11</v>
      </c>
      <c r="I592">
        <v>2024</v>
      </c>
      <c r="J592">
        <v>6</v>
      </c>
    </row>
    <row r="593" spans="1:10" x14ac:dyDescent="0.3">
      <c r="A593">
        <v>795</v>
      </c>
      <c r="B593">
        <v>15</v>
      </c>
      <c r="C593">
        <v>3</v>
      </c>
      <c r="D593">
        <v>119</v>
      </c>
      <c r="E593">
        <v>357</v>
      </c>
      <c r="F593">
        <v>229</v>
      </c>
      <c r="G593" s="1">
        <v>45452</v>
      </c>
      <c r="H593" t="s">
        <v>11</v>
      </c>
      <c r="I593">
        <v>2024</v>
      </c>
      <c r="J593">
        <v>6</v>
      </c>
    </row>
    <row r="594" spans="1:10" x14ac:dyDescent="0.3">
      <c r="A594">
        <v>693</v>
      </c>
      <c r="B594">
        <v>33</v>
      </c>
      <c r="C594">
        <v>3</v>
      </c>
      <c r="D594">
        <v>31</v>
      </c>
      <c r="E594">
        <v>93</v>
      </c>
      <c r="F594">
        <v>122</v>
      </c>
      <c r="G594" s="1">
        <v>45443</v>
      </c>
      <c r="H594" t="s">
        <v>11</v>
      </c>
      <c r="I594">
        <v>2024</v>
      </c>
      <c r="J594">
        <v>5</v>
      </c>
    </row>
    <row r="595" spans="1:10" x14ac:dyDescent="0.3">
      <c r="A595">
        <v>693</v>
      </c>
      <c r="B595">
        <v>38</v>
      </c>
      <c r="C595">
        <v>3</v>
      </c>
      <c r="D595">
        <v>97</v>
      </c>
      <c r="E595">
        <v>291</v>
      </c>
      <c r="F595">
        <v>122</v>
      </c>
      <c r="G595" s="1">
        <v>45443</v>
      </c>
      <c r="H595" t="s">
        <v>11</v>
      </c>
      <c r="I595">
        <v>2024</v>
      </c>
      <c r="J595">
        <v>5</v>
      </c>
    </row>
    <row r="596" spans="1:10" x14ac:dyDescent="0.3">
      <c r="A596">
        <v>693</v>
      </c>
      <c r="B596">
        <v>21</v>
      </c>
      <c r="C596">
        <v>4</v>
      </c>
      <c r="D596">
        <v>115</v>
      </c>
      <c r="E596">
        <v>460</v>
      </c>
      <c r="F596">
        <v>122</v>
      </c>
      <c r="G596" s="1">
        <v>45443</v>
      </c>
      <c r="H596" t="s">
        <v>11</v>
      </c>
      <c r="I596">
        <v>2024</v>
      </c>
      <c r="J596">
        <v>5</v>
      </c>
    </row>
    <row r="597" spans="1:10" x14ac:dyDescent="0.3">
      <c r="A597">
        <v>693</v>
      </c>
      <c r="B597">
        <v>45</v>
      </c>
      <c r="C597">
        <v>3</v>
      </c>
      <c r="D597">
        <v>100</v>
      </c>
      <c r="E597">
        <v>300</v>
      </c>
      <c r="F597">
        <v>122</v>
      </c>
      <c r="G597" s="1">
        <v>45443</v>
      </c>
      <c r="H597" t="s">
        <v>11</v>
      </c>
      <c r="I597">
        <v>2024</v>
      </c>
      <c r="J597">
        <v>5</v>
      </c>
    </row>
    <row r="598" spans="1:10" x14ac:dyDescent="0.3">
      <c r="A598">
        <v>699</v>
      </c>
      <c r="B598">
        <v>15</v>
      </c>
      <c r="C598">
        <v>1</v>
      </c>
      <c r="D598">
        <v>97</v>
      </c>
      <c r="E598">
        <v>97</v>
      </c>
      <c r="F598">
        <v>22</v>
      </c>
      <c r="G598" s="1">
        <v>45408</v>
      </c>
      <c r="H598" t="s">
        <v>11</v>
      </c>
      <c r="I598">
        <v>2024</v>
      </c>
      <c r="J598">
        <v>4</v>
      </c>
    </row>
    <row r="599" spans="1:10" x14ac:dyDescent="0.3">
      <c r="A599">
        <v>699</v>
      </c>
      <c r="B599">
        <v>31</v>
      </c>
      <c r="C599">
        <v>1</v>
      </c>
      <c r="D599">
        <v>31</v>
      </c>
      <c r="E599">
        <v>31</v>
      </c>
      <c r="F599">
        <v>22</v>
      </c>
      <c r="G599" s="1">
        <v>45408</v>
      </c>
      <c r="H599" t="s">
        <v>11</v>
      </c>
      <c r="I599">
        <v>2024</v>
      </c>
      <c r="J599">
        <v>4</v>
      </c>
    </row>
    <row r="600" spans="1:10" x14ac:dyDescent="0.3">
      <c r="A600">
        <v>699</v>
      </c>
      <c r="B600">
        <v>26</v>
      </c>
      <c r="C600">
        <v>3</v>
      </c>
      <c r="D600">
        <v>89</v>
      </c>
      <c r="E600">
        <v>267</v>
      </c>
      <c r="F600">
        <v>22</v>
      </c>
      <c r="G600" s="1">
        <v>45408</v>
      </c>
      <c r="H600" t="s">
        <v>11</v>
      </c>
      <c r="I600">
        <v>2024</v>
      </c>
      <c r="J600">
        <v>4</v>
      </c>
    </row>
    <row r="601" spans="1:10" x14ac:dyDescent="0.3">
      <c r="A601">
        <v>699</v>
      </c>
      <c r="B601">
        <v>50</v>
      </c>
      <c r="C601">
        <v>3</v>
      </c>
      <c r="D601">
        <v>54</v>
      </c>
      <c r="E601">
        <v>162</v>
      </c>
      <c r="F601">
        <v>22</v>
      </c>
      <c r="G601" s="1">
        <v>45408</v>
      </c>
      <c r="H601" t="s">
        <v>11</v>
      </c>
      <c r="I601">
        <v>2024</v>
      </c>
      <c r="J601">
        <v>4</v>
      </c>
    </row>
    <row r="602" spans="1:10" x14ac:dyDescent="0.3">
      <c r="A602">
        <v>734</v>
      </c>
      <c r="B602">
        <v>15</v>
      </c>
      <c r="C602">
        <v>5</v>
      </c>
      <c r="D602">
        <v>88</v>
      </c>
      <c r="E602">
        <v>440</v>
      </c>
      <c r="F602">
        <v>154</v>
      </c>
      <c r="G602" s="1">
        <v>45522</v>
      </c>
      <c r="H602" t="s">
        <v>11</v>
      </c>
      <c r="I602">
        <v>2024</v>
      </c>
      <c r="J602">
        <v>8</v>
      </c>
    </row>
    <row r="603" spans="1:10" x14ac:dyDescent="0.3">
      <c r="A603">
        <v>734</v>
      </c>
      <c r="B603">
        <v>40</v>
      </c>
      <c r="C603">
        <v>2</v>
      </c>
      <c r="D603">
        <v>51</v>
      </c>
      <c r="E603">
        <v>102</v>
      </c>
      <c r="F603">
        <v>154</v>
      </c>
      <c r="G603" s="1">
        <v>45522</v>
      </c>
      <c r="H603" t="s">
        <v>11</v>
      </c>
      <c r="I603">
        <v>2024</v>
      </c>
      <c r="J603">
        <v>8</v>
      </c>
    </row>
    <row r="604" spans="1:10" x14ac:dyDescent="0.3">
      <c r="A604">
        <v>734</v>
      </c>
      <c r="B604">
        <v>40</v>
      </c>
      <c r="C604">
        <v>4</v>
      </c>
      <c r="D604">
        <v>84</v>
      </c>
      <c r="E604">
        <v>336</v>
      </c>
      <c r="F604">
        <v>154</v>
      </c>
      <c r="G604" s="1">
        <v>45522</v>
      </c>
      <c r="H604" t="s">
        <v>11</v>
      </c>
      <c r="I604">
        <v>2024</v>
      </c>
      <c r="J604">
        <v>8</v>
      </c>
    </row>
    <row r="605" spans="1:10" x14ac:dyDescent="0.3">
      <c r="A605">
        <v>734</v>
      </c>
      <c r="B605">
        <v>22</v>
      </c>
      <c r="C605">
        <v>3</v>
      </c>
      <c r="D605">
        <v>60</v>
      </c>
      <c r="E605">
        <v>180</v>
      </c>
      <c r="F605">
        <v>154</v>
      </c>
      <c r="G605" s="1">
        <v>45522</v>
      </c>
      <c r="H605" t="s">
        <v>11</v>
      </c>
      <c r="I605">
        <v>2024</v>
      </c>
      <c r="J605">
        <v>8</v>
      </c>
    </row>
    <row r="606" spans="1:10" x14ac:dyDescent="0.3">
      <c r="A606">
        <v>745</v>
      </c>
      <c r="B606">
        <v>46</v>
      </c>
      <c r="C606">
        <v>1</v>
      </c>
      <c r="D606">
        <v>99</v>
      </c>
      <c r="E606">
        <v>99</v>
      </c>
      <c r="F606">
        <v>15</v>
      </c>
      <c r="G606" s="1">
        <v>45552</v>
      </c>
      <c r="H606" t="s">
        <v>11</v>
      </c>
      <c r="I606">
        <v>2024</v>
      </c>
      <c r="J606">
        <v>9</v>
      </c>
    </row>
    <row r="607" spans="1:10" x14ac:dyDescent="0.3">
      <c r="A607">
        <v>745</v>
      </c>
      <c r="B607">
        <v>47</v>
      </c>
      <c r="C607">
        <v>2</v>
      </c>
      <c r="D607">
        <v>77</v>
      </c>
      <c r="E607">
        <v>154</v>
      </c>
      <c r="F607">
        <v>15</v>
      </c>
      <c r="G607" s="1">
        <v>45552</v>
      </c>
      <c r="H607" t="s">
        <v>11</v>
      </c>
      <c r="I607">
        <v>2024</v>
      </c>
      <c r="J607">
        <v>9</v>
      </c>
    </row>
    <row r="608" spans="1:10" x14ac:dyDescent="0.3">
      <c r="A608">
        <v>745</v>
      </c>
      <c r="B608">
        <v>24</v>
      </c>
      <c r="C608">
        <v>3</v>
      </c>
      <c r="D608">
        <v>20</v>
      </c>
      <c r="E608">
        <v>60</v>
      </c>
      <c r="F608">
        <v>15</v>
      </c>
      <c r="G608" s="1">
        <v>45552</v>
      </c>
      <c r="H608" t="s">
        <v>11</v>
      </c>
      <c r="I608">
        <v>2024</v>
      </c>
      <c r="J608">
        <v>9</v>
      </c>
    </row>
    <row r="609" spans="1:10" x14ac:dyDescent="0.3">
      <c r="A609">
        <v>134</v>
      </c>
      <c r="B609">
        <v>24</v>
      </c>
      <c r="C609">
        <v>2</v>
      </c>
      <c r="D609">
        <v>97</v>
      </c>
      <c r="E609">
        <v>194</v>
      </c>
      <c r="F609">
        <v>134</v>
      </c>
      <c r="G609" s="1">
        <v>45510</v>
      </c>
      <c r="H609" t="s">
        <v>11</v>
      </c>
      <c r="I609">
        <v>2024</v>
      </c>
      <c r="J609">
        <v>8</v>
      </c>
    </row>
    <row r="610" spans="1:10" x14ac:dyDescent="0.3">
      <c r="A610">
        <v>134</v>
      </c>
      <c r="B610">
        <v>46</v>
      </c>
      <c r="C610">
        <v>3</v>
      </c>
      <c r="D610">
        <v>18</v>
      </c>
      <c r="E610">
        <v>54</v>
      </c>
      <c r="F610">
        <v>134</v>
      </c>
      <c r="G610" s="1">
        <v>45510</v>
      </c>
      <c r="H610" t="s">
        <v>11</v>
      </c>
      <c r="I610">
        <v>2024</v>
      </c>
      <c r="J610">
        <v>8</v>
      </c>
    </row>
    <row r="611" spans="1:10" x14ac:dyDescent="0.3">
      <c r="A611">
        <v>391</v>
      </c>
      <c r="B611">
        <v>5</v>
      </c>
      <c r="C611">
        <v>1</v>
      </c>
      <c r="D611">
        <v>57</v>
      </c>
      <c r="E611">
        <v>57</v>
      </c>
      <c r="F611">
        <v>39</v>
      </c>
      <c r="G611" s="1">
        <v>45405</v>
      </c>
      <c r="H611" t="s">
        <v>11</v>
      </c>
      <c r="I611">
        <v>2024</v>
      </c>
      <c r="J611">
        <v>4</v>
      </c>
    </row>
    <row r="612" spans="1:10" x14ac:dyDescent="0.3">
      <c r="A612">
        <v>391</v>
      </c>
      <c r="B612">
        <v>23</v>
      </c>
      <c r="C612">
        <v>5</v>
      </c>
      <c r="D612">
        <v>107</v>
      </c>
      <c r="E612">
        <v>535</v>
      </c>
      <c r="F612">
        <v>39</v>
      </c>
      <c r="G612" s="1">
        <v>45405</v>
      </c>
      <c r="H612" t="s">
        <v>11</v>
      </c>
      <c r="I612">
        <v>2024</v>
      </c>
      <c r="J612">
        <v>4</v>
      </c>
    </row>
    <row r="613" spans="1:10" x14ac:dyDescent="0.3">
      <c r="A613">
        <v>391</v>
      </c>
      <c r="B613">
        <v>47</v>
      </c>
      <c r="C613">
        <v>4</v>
      </c>
      <c r="D613">
        <v>92</v>
      </c>
      <c r="E613">
        <v>368</v>
      </c>
      <c r="F613">
        <v>39</v>
      </c>
      <c r="G613" s="1">
        <v>45405</v>
      </c>
      <c r="H613" t="s">
        <v>11</v>
      </c>
      <c r="I613">
        <v>2024</v>
      </c>
      <c r="J613">
        <v>4</v>
      </c>
    </row>
    <row r="614" spans="1:10" x14ac:dyDescent="0.3">
      <c r="A614">
        <v>992</v>
      </c>
      <c r="B614">
        <v>6</v>
      </c>
      <c r="C614">
        <v>5</v>
      </c>
      <c r="D614">
        <v>111</v>
      </c>
      <c r="E614">
        <v>555</v>
      </c>
      <c r="F614">
        <v>49</v>
      </c>
      <c r="G614" s="1">
        <v>45638</v>
      </c>
      <c r="H614" t="s">
        <v>11</v>
      </c>
      <c r="I614">
        <v>2024</v>
      </c>
      <c r="J614">
        <v>12</v>
      </c>
    </row>
    <row r="615" spans="1:10" x14ac:dyDescent="0.3">
      <c r="A615">
        <v>992</v>
      </c>
      <c r="B615">
        <v>47</v>
      </c>
      <c r="C615">
        <v>1</v>
      </c>
      <c r="D615">
        <v>74</v>
      </c>
      <c r="E615">
        <v>74</v>
      </c>
      <c r="F615">
        <v>49</v>
      </c>
      <c r="G615" s="1">
        <v>45638</v>
      </c>
      <c r="H615" t="s">
        <v>11</v>
      </c>
      <c r="I615">
        <v>2024</v>
      </c>
      <c r="J615">
        <v>12</v>
      </c>
    </row>
    <row r="616" spans="1:10" x14ac:dyDescent="0.3">
      <c r="A616">
        <v>992</v>
      </c>
      <c r="B616">
        <v>17</v>
      </c>
      <c r="C616">
        <v>5</v>
      </c>
      <c r="D616">
        <v>78</v>
      </c>
      <c r="E616">
        <v>390</v>
      </c>
      <c r="F616">
        <v>49</v>
      </c>
      <c r="G616" s="1">
        <v>45638</v>
      </c>
      <c r="H616" t="s">
        <v>11</v>
      </c>
      <c r="I616">
        <v>2024</v>
      </c>
      <c r="J616">
        <v>12</v>
      </c>
    </row>
    <row r="617" spans="1:10" x14ac:dyDescent="0.3">
      <c r="A617">
        <v>992</v>
      </c>
      <c r="B617">
        <v>7</v>
      </c>
      <c r="C617">
        <v>3</v>
      </c>
      <c r="D617">
        <v>106</v>
      </c>
      <c r="E617">
        <v>318</v>
      </c>
      <c r="F617">
        <v>49</v>
      </c>
      <c r="G617" s="1">
        <v>45638</v>
      </c>
      <c r="H617" t="s">
        <v>11</v>
      </c>
      <c r="I617">
        <v>2024</v>
      </c>
      <c r="J617">
        <v>12</v>
      </c>
    </row>
    <row r="618" spans="1:10" x14ac:dyDescent="0.3">
      <c r="A618">
        <v>736</v>
      </c>
      <c r="B618">
        <v>49</v>
      </c>
      <c r="C618">
        <v>2</v>
      </c>
      <c r="D618">
        <v>79</v>
      </c>
      <c r="E618">
        <v>158</v>
      </c>
      <c r="F618">
        <v>187</v>
      </c>
      <c r="G618" s="1">
        <v>45421</v>
      </c>
      <c r="H618" t="s">
        <v>11</v>
      </c>
      <c r="I618">
        <v>2024</v>
      </c>
      <c r="J618">
        <v>5</v>
      </c>
    </row>
    <row r="619" spans="1:10" x14ac:dyDescent="0.3">
      <c r="A619">
        <v>736</v>
      </c>
      <c r="B619">
        <v>7</v>
      </c>
      <c r="C619">
        <v>2</v>
      </c>
      <c r="D619">
        <v>63</v>
      </c>
      <c r="E619">
        <v>126</v>
      </c>
      <c r="F619">
        <v>187</v>
      </c>
      <c r="G619" s="1">
        <v>45421</v>
      </c>
      <c r="H619" t="s">
        <v>11</v>
      </c>
      <c r="I619">
        <v>2024</v>
      </c>
      <c r="J619">
        <v>5</v>
      </c>
    </row>
    <row r="620" spans="1:10" x14ac:dyDescent="0.3">
      <c r="A620">
        <v>736</v>
      </c>
      <c r="B620">
        <v>20</v>
      </c>
      <c r="C620">
        <v>1</v>
      </c>
      <c r="D620">
        <v>51</v>
      </c>
      <c r="E620">
        <v>51</v>
      </c>
      <c r="F620">
        <v>187</v>
      </c>
      <c r="G620" s="1">
        <v>45421</v>
      </c>
      <c r="H620" t="s">
        <v>11</v>
      </c>
      <c r="I620">
        <v>2024</v>
      </c>
      <c r="J620">
        <v>5</v>
      </c>
    </row>
    <row r="621" spans="1:10" x14ac:dyDescent="0.3">
      <c r="A621">
        <v>736</v>
      </c>
      <c r="B621">
        <v>25</v>
      </c>
      <c r="C621">
        <v>3</v>
      </c>
      <c r="D621">
        <v>44</v>
      </c>
      <c r="E621">
        <v>132</v>
      </c>
      <c r="F621">
        <v>187</v>
      </c>
      <c r="G621" s="1">
        <v>45421</v>
      </c>
      <c r="H621" t="s">
        <v>11</v>
      </c>
      <c r="I621">
        <v>2024</v>
      </c>
      <c r="J621">
        <v>5</v>
      </c>
    </row>
    <row r="622" spans="1:10" x14ac:dyDescent="0.3">
      <c r="A622">
        <v>501</v>
      </c>
      <c r="B622">
        <v>43</v>
      </c>
      <c r="C622">
        <v>4</v>
      </c>
      <c r="D622">
        <v>108</v>
      </c>
      <c r="E622">
        <v>432</v>
      </c>
      <c r="F622">
        <v>74</v>
      </c>
      <c r="G622" s="1">
        <v>45295</v>
      </c>
      <c r="H622" t="s">
        <v>11</v>
      </c>
      <c r="I622">
        <v>2024</v>
      </c>
      <c r="J622">
        <v>1</v>
      </c>
    </row>
    <row r="623" spans="1:10" x14ac:dyDescent="0.3">
      <c r="A623">
        <v>501</v>
      </c>
      <c r="B623">
        <v>48</v>
      </c>
      <c r="C623">
        <v>2</v>
      </c>
      <c r="D623">
        <v>52</v>
      </c>
      <c r="E623">
        <v>104</v>
      </c>
      <c r="F623">
        <v>74</v>
      </c>
      <c r="G623" s="1">
        <v>45295</v>
      </c>
      <c r="H623" t="s">
        <v>11</v>
      </c>
      <c r="I623">
        <v>2024</v>
      </c>
      <c r="J623">
        <v>1</v>
      </c>
    </row>
    <row r="624" spans="1:10" x14ac:dyDescent="0.3">
      <c r="A624">
        <v>665</v>
      </c>
      <c r="B624">
        <v>48</v>
      </c>
      <c r="C624">
        <v>3</v>
      </c>
      <c r="D624">
        <v>115</v>
      </c>
      <c r="E624">
        <v>345</v>
      </c>
      <c r="F624">
        <v>133</v>
      </c>
      <c r="G624" s="1">
        <v>45598</v>
      </c>
      <c r="H624" t="s">
        <v>11</v>
      </c>
      <c r="I624">
        <v>2024</v>
      </c>
      <c r="J624">
        <v>11</v>
      </c>
    </row>
    <row r="625" spans="1:10" x14ac:dyDescent="0.3">
      <c r="A625">
        <v>665</v>
      </c>
      <c r="B625">
        <v>35</v>
      </c>
      <c r="C625">
        <v>1</v>
      </c>
      <c r="D625">
        <v>73</v>
      </c>
      <c r="E625">
        <v>73</v>
      </c>
      <c r="F625">
        <v>133</v>
      </c>
      <c r="G625" s="1">
        <v>45598</v>
      </c>
      <c r="H625" t="s">
        <v>11</v>
      </c>
      <c r="I625">
        <v>2024</v>
      </c>
      <c r="J625">
        <v>11</v>
      </c>
    </row>
    <row r="626" spans="1:10" x14ac:dyDescent="0.3">
      <c r="A626">
        <v>665</v>
      </c>
      <c r="B626">
        <v>13</v>
      </c>
      <c r="C626">
        <v>4</v>
      </c>
      <c r="D626">
        <v>46</v>
      </c>
      <c r="E626">
        <v>184</v>
      </c>
      <c r="F626">
        <v>133</v>
      </c>
      <c r="G626" s="1">
        <v>45598</v>
      </c>
      <c r="H626" t="s">
        <v>11</v>
      </c>
      <c r="I626">
        <v>2024</v>
      </c>
      <c r="J626">
        <v>11</v>
      </c>
    </row>
    <row r="627" spans="1:10" x14ac:dyDescent="0.3">
      <c r="A627">
        <v>33</v>
      </c>
      <c r="B627">
        <v>44</v>
      </c>
      <c r="C627">
        <v>3</v>
      </c>
      <c r="D627">
        <v>74</v>
      </c>
      <c r="E627">
        <v>222</v>
      </c>
      <c r="F627">
        <v>131</v>
      </c>
      <c r="G627" s="1">
        <v>45546</v>
      </c>
      <c r="H627" t="s">
        <v>11</v>
      </c>
      <c r="I627">
        <v>2024</v>
      </c>
      <c r="J627">
        <v>9</v>
      </c>
    </row>
    <row r="628" spans="1:10" x14ac:dyDescent="0.3">
      <c r="A628">
        <v>33</v>
      </c>
      <c r="B628">
        <v>29</v>
      </c>
      <c r="C628">
        <v>3</v>
      </c>
      <c r="D628">
        <v>80</v>
      </c>
      <c r="E628">
        <v>240</v>
      </c>
      <c r="F628">
        <v>131</v>
      </c>
      <c r="G628" s="1">
        <v>45546</v>
      </c>
      <c r="H628" t="s">
        <v>11</v>
      </c>
      <c r="I628">
        <v>2024</v>
      </c>
      <c r="J628">
        <v>9</v>
      </c>
    </row>
    <row r="629" spans="1:10" x14ac:dyDescent="0.3">
      <c r="A629">
        <v>55</v>
      </c>
      <c r="B629">
        <v>47</v>
      </c>
      <c r="C629">
        <v>2</v>
      </c>
      <c r="D629">
        <v>69</v>
      </c>
      <c r="E629">
        <v>138</v>
      </c>
      <c r="F629">
        <v>44</v>
      </c>
      <c r="G629" s="1">
        <v>45298</v>
      </c>
      <c r="H629" t="s">
        <v>11</v>
      </c>
      <c r="I629">
        <v>2024</v>
      </c>
      <c r="J629">
        <v>1</v>
      </c>
    </row>
    <row r="630" spans="1:10" x14ac:dyDescent="0.3">
      <c r="A630">
        <v>954</v>
      </c>
      <c r="B630">
        <v>23</v>
      </c>
      <c r="C630">
        <v>5</v>
      </c>
      <c r="D630">
        <v>55</v>
      </c>
      <c r="E630">
        <v>275</v>
      </c>
      <c r="F630">
        <v>1</v>
      </c>
      <c r="G630" s="1">
        <v>45381</v>
      </c>
      <c r="H630" t="s">
        <v>11</v>
      </c>
      <c r="I630">
        <v>2024</v>
      </c>
      <c r="J630">
        <v>3</v>
      </c>
    </row>
    <row r="631" spans="1:10" x14ac:dyDescent="0.3">
      <c r="A631">
        <v>519</v>
      </c>
      <c r="B631">
        <v>4</v>
      </c>
      <c r="C631">
        <v>2</v>
      </c>
      <c r="D631">
        <v>45</v>
      </c>
      <c r="E631">
        <v>90</v>
      </c>
      <c r="F631">
        <v>292</v>
      </c>
      <c r="G631" s="1">
        <v>45594</v>
      </c>
      <c r="H631" t="s">
        <v>11</v>
      </c>
      <c r="I631">
        <v>2024</v>
      </c>
      <c r="J631">
        <v>10</v>
      </c>
    </row>
    <row r="632" spans="1:10" x14ac:dyDescent="0.3">
      <c r="A632">
        <v>519</v>
      </c>
      <c r="B632">
        <v>14</v>
      </c>
      <c r="C632">
        <v>5</v>
      </c>
      <c r="D632">
        <v>56</v>
      </c>
      <c r="E632">
        <v>280</v>
      </c>
      <c r="F632">
        <v>292</v>
      </c>
      <c r="G632" s="1">
        <v>45594</v>
      </c>
      <c r="H632" t="s">
        <v>11</v>
      </c>
      <c r="I632">
        <v>2024</v>
      </c>
      <c r="J632">
        <v>10</v>
      </c>
    </row>
    <row r="633" spans="1:10" x14ac:dyDescent="0.3">
      <c r="A633">
        <v>519</v>
      </c>
      <c r="B633">
        <v>49</v>
      </c>
      <c r="C633">
        <v>1</v>
      </c>
      <c r="D633">
        <v>107</v>
      </c>
      <c r="E633">
        <v>107</v>
      </c>
      <c r="F633">
        <v>292</v>
      </c>
      <c r="G633" s="1">
        <v>45594</v>
      </c>
      <c r="H633" t="s">
        <v>11</v>
      </c>
      <c r="I633">
        <v>2024</v>
      </c>
      <c r="J633">
        <v>10</v>
      </c>
    </row>
    <row r="634" spans="1:10" x14ac:dyDescent="0.3">
      <c r="A634">
        <v>756</v>
      </c>
      <c r="B634">
        <v>27</v>
      </c>
      <c r="C634">
        <v>5</v>
      </c>
      <c r="D634">
        <v>67</v>
      </c>
      <c r="E634">
        <v>335</v>
      </c>
      <c r="F634">
        <v>25</v>
      </c>
      <c r="G634" s="1">
        <v>45557</v>
      </c>
      <c r="H634" t="s">
        <v>11</v>
      </c>
      <c r="I634">
        <v>2024</v>
      </c>
      <c r="J634">
        <v>9</v>
      </c>
    </row>
    <row r="635" spans="1:10" x14ac:dyDescent="0.3">
      <c r="A635">
        <v>756</v>
      </c>
      <c r="B635">
        <v>42</v>
      </c>
      <c r="C635">
        <v>2</v>
      </c>
      <c r="D635">
        <v>98</v>
      </c>
      <c r="E635">
        <v>196</v>
      </c>
      <c r="F635">
        <v>25</v>
      </c>
      <c r="G635" s="1">
        <v>45557</v>
      </c>
      <c r="H635" t="s">
        <v>11</v>
      </c>
      <c r="I635">
        <v>2024</v>
      </c>
      <c r="J635">
        <v>9</v>
      </c>
    </row>
    <row r="636" spans="1:10" x14ac:dyDescent="0.3">
      <c r="A636">
        <v>825</v>
      </c>
      <c r="B636">
        <v>18</v>
      </c>
      <c r="C636">
        <v>4</v>
      </c>
      <c r="D636">
        <v>85</v>
      </c>
      <c r="E636">
        <v>340</v>
      </c>
      <c r="F636">
        <v>139</v>
      </c>
      <c r="G636" s="1">
        <v>45555</v>
      </c>
      <c r="H636" t="s">
        <v>11</v>
      </c>
      <c r="I636">
        <v>2024</v>
      </c>
      <c r="J636">
        <v>9</v>
      </c>
    </row>
    <row r="637" spans="1:10" x14ac:dyDescent="0.3">
      <c r="A637">
        <v>825</v>
      </c>
      <c r="B637">
        <v>47</v>
      </c>
      <c r="C637">
        <v>4</v>
      </c>
      <c r="D637">
        <v>47</v>
      </c>
      <c r="E637">
        <v>188</v>
      </c>
      <c r="F637">
        <v>139</v>
      </c>
      <c r="G637" s="1">
        <v>45555</v>
      </c>
      <c r="H637" t="s">
        <v>11</v>
      </c>
      <c r="I637">
        <v>2024</v>
      </c>
      <c r="J637">
        <v>9</v>
      </c>
    </row>
    <row r="638" spans="1:10" x14ac:dyDescent="0.3">
      <c r="A638">
        <v>825</v>
      </c>
      <c r="B638">
        <v>18</v>
      </c>
      <c r="C638">
        <v>3</v>
      </c>
      <c r="D638">
        <v>66</v>
      </c>
      <c r="E638">
        <v>198</v>
      </c>
      <c r="F638">
        <v>139</v>
      </c>
      <c r="G638" s="1">
        <v>45555</v>
      </c>
      <c r="H638" t="s">
        <v>11</v>
      </c>
      <c r="I638">
        <v>2024</v>
      </c>
      <c r="J638">
        <v>9</v>
      </c>
    </row>
    <row r="639" spans="1:10" x14ac:dyDescent="0.3">
      <c r="A639">
        <v>825</v>
      </c>
      <c r="B639">
        <v>49</v>
      </c>
      <c r="C639">
        <v>2</v>
      </c>
      <c r="D639">
        <v>38</v>
      </c>
      <c r="E639">
        <v>76</v>
      </c>
      <c r="F639">
        <v>139</v>
      </c>
      <c r="G639" s="1">
        <v>45555</v>
      </c>
      <c r="H639" t="s">
        <v>11</v>
      </c>
      <c r="I639">
        <v>2024</v>
      </c>
      <c r="J639">
        <v>9</v>
      </c>
    </row>
    <row r="640" spans="1:10" x14ac:dyDescent="0.3">
      <c r="A640">
        <v>825</v>
      </c>
      <c r="B640">
        <v>38</v>
      </c>
      <c r="C640">
        <v>5</v>
      </c>
      <c r="D640">
        <v>34</v>
      </c>
      <c r="E640">
        <v>170</v>
      </c>
      <c r="F640">
        <v>139</v>
      </c>
      <c r="G640" s="1">
        <v>45555</v>
      </c>
      <c r="H640" t="s">
        <v>11</v>
      </c>
      <c r="I640">
        <v>2024</v>
      </c>
      <c r="J640">
        <v>9</v>
      </c>
    </row>
    <row r="641" spans="1:10" x14ac:dyDescent="0.3">
      <c r="A641">
        <v>825</v>
      </c>
      <c r="B641">
        <v>10</v>
      </c>
      <c r="C641">
        <v>2</v>
      </c>
      <c r="D641">
        <v>16</v>
      </c>
      <c r="E641">
        <v>32</v>
      </c>
      <c r="F641">
        <v>139</v>
      </c>
      <c r="G641" s="1">
        <v>45555</v>
      </c>
      <c r="H641" t="s">
        <v>11</v>
      </c>
      <c r="I641">
        <v>2024</v>
      </c>
      <c r="J641">
        <v>9</v>
      </c>
    </row>
    <row r="642" spans="1:10" x14ac:dyDescent="0.3">
      <c r="A642">
        <v>825</v>
      </c>
      <c r="B642">
        <v>19</v>
      </c>
      <c r="C642">
        <v>2</v>
      </c>
      <c r="D642">
        <v>82</v>
      </c>
      <c r="E642">
        <v>164</v>
      </c>
      <c r="F642">
        <v>139</v>
      </c>
      <c r="G642" s="1">
        <v>45555</v>
      </c>
      <c r="H642" t="s">
        <v>11</v>
      </c>
      <c r="I642">
        <v>2024</v>
      </c>
      <c r="J642">
        <v>9</v>
      </c>
    </row>
    <row r="643" spans="1:10" x14ac:dyDescent="0.3">
      <c r="A643">
        <v>825</v>
      </c>
      <c r="B643">
        <v>29</v>
      </c>
      <c r="C643">
        <v>1</v>
      </c>
      <c r="D643">
        <v>28</v>
      </c>
      <c r="E643">
        <v>28</v>
      </c>
      <c r="F643">
        <v>139</v>
      </c>
      <c r="G643" s="1">
        <v>45555</v>
      </c>
      <c r="H643" t="s">
        <v>11</v>
      </c>
      <c r="I643">
        <v>2024</v>
      </c>
      <c r="J643">
        <v>9</v>
      </c>
    </row>
    <row r="644" spans="1:10" x14ac:dyDescent="0.3">
      <c r="A644">
        <v>638</v>
      </c>
      <c r="B644">
        <v>21</v>
      </c>
      <c r="C644">
        <v>5</v>
      </c>
      <c r="D644">
        <v>47</v>
      </c>
      <c r="E644">
        <v>235</v>
      </c>
      <c r="F644">
        <v>118</v>
      </c>
      <c r="G644" s="1">
        <v>45375</v>
      </c>
      <c r="H644" t="s">
        <v>11</v>
      </c>
      <c r="I644">
        <v>2024</v>
      </c>
      <c r="J644">
        <v>3</v>
      </c>
    </row>
    <row r="645" spans="1:10" x14ac:dyDescent="0.3">
      <c r="A645">
        <v>638</v>
      </c>
      <c r="B645">
        <v>16</v>
      </c>
      <c r="C645">
        <v>3</v>
      </c>
      <c r="D645">
        <v>51</v>
      </c>
      <c r="E645">
        <v>153</v>
      </c>
      <c r="F645">
        <v>118</v>
      </c>
      <c r="G645" s="1">
        <v>45375</v>
      </c>
      <c r="H645" t="s">
        <v>11</v>
      </c>
      <c r="I645">
        <v>2024</v>
      </c>
      <c r="J645">
        <v>3</v>
      </c>
    </row>
    <row r="646" spans="1:10" x14ac:dyDescent="0.3">
      <c r="A646">
        <v>638</v>
      </c>
      <c r="B646">
        <v>32</v>
      </c>
      <c r="C646">
        <v>5</v>
      </c>
      <c r="D646">
        <v>24</v>
      </c>
      <c r="E646">
        <v>120</v>
      </c>
      <c r="F646">
        <v>118</v>
      </c>
      <c r="G646" s="1">
        <v>45375</v>
      </c>
      <c r="H646" t="s">
        <v>11</v>
      </c>
      <c r="I646">
        <v>2024</v>
      </c>
      <c r="J646">
        <v>3</v>
      </c>
    </row>
    <row r="647" spans="1:10" x14ac:dyDescent="0.3">
      <c r="A647">
        <v>638</v>
      </c>
      <c r="B647">
        <v>44</v>
      </c>
      <c r="C647">
        <v>2</v>
      </c>
      <c r="D647">
        <v>114</v>
      </c>
      <c r="E647">
        <v>228</v>
      </c>
      <c r="F647">
        <v>118</v>
      </c>
      <c r="G647" s="1">
        <v>45375</v>
      </c>
      <c r="H647" t="s">
        <v>11</v>
      </c>
      <c r="I647">
        <v>2024</v>
      </c>
      <c r="J647">
        <v>3</v>
      </c>
    </row>
    <row r="648" spans="1:10" x14ac:dyDescent="0.3">
      <c r="A648">
        <v>720</v>
      </c>
      <c r="B648">
        <v>22</v>
      </c>
      <c r="C648">
        <v>1</v>
      </c>
      <c r="D648">
        <v>51</v>
      </c>
      <c r="E648">
        <v>51</v>
      </c>
      <c r="F648">
        <v>292</v>
      </c>
      <c r="G648" s="1">
        <v>45391</v>
      </c>
      <c r="H648" t="s">
        <v>11</v>
      </c>
      <c r="I648">
        <v>2024</v>
      </c>
      <c r="J648">
        <v>4</v>
      </c>
    </row>
    <row r="649" spans="1:10" x14ac:dyDescent="0.3">
      <c r="A649">
        <v>720</v>
      </c>
      <c r="B649">
        <v>10</v>
      </c>
      <c r="C649">
        <v>5</v>
      </c>
      <c r="D649">
        <v>49</v>
      </c>
      <c r="E649">
        <v>245</v>
      </c>
      <c r="F649">
        <v>292</v>
      </c>
      <c r="G649" s="1">
        <v>45391</v>
      </c>
      <c r="H649" t="s">
        <v>11</v>
      </c>
      <c r="I649">
        <v>2024</v>
      </c>
      <c r="J649">
        <v>4</v>
      </c>
    </row>
    <row r="650" spans="1:10" x14ac:dyDescent="0.3">
      <c r="A650">
        <v>373</v>
      </c>
      <c r="B650">
        <v>23</v>
      </c>
      <c r="C650">
        <v>2</v>
      </c>
      <c r="D650">
        <v>80</v>
      </c>
      <c r="E650">
        <v>160</v>
      </c>
      <c r="F650">
        <v>189</v>
      </c>
      <c r="G650" s="1">
        <v>45623</v>
      </c>
      <c r="H650" t="s">
        <v>11</v>
      </c>
      <c r="I650">
        <v>2024</v>
      </c>
      <c r="J650">
        <v>11</v>
      </c>
    </row>
    <row r="651" spans="1:10" x14ac:dyDescent="0.3">
      <c r="A651">
        <v>973</v>
      </c>
      <c r="B651">
        <v>40</v>
      </c>
      <c r="C651">
        <v>2</v>
      </c>
      <c r="D651">
        <v>45</v>
      </c>
      <c r="E651">
        <v>90</v>
      </c>
      <c r="F651">
        <v>182</v>
      </c>
      <c r="G651" s="1">
        <v>45653</v>
      </c>
      <c r="H651" t="s">
        <v>11</v>
      </c>
      <c r="I651">
        <v>2024</v>
      </c>
      <c r="J651">
        <v>12</v>
      </c>
    </row>
    <row r="652" spans="1:10" x14ac:dyDescent="0.3">
      <c r="A652">
        <v>973</v>
      </c>
      <c r="B652">
        <v>50</v>
      </c>
      <c r="C652">
        <v>1</v>
      </c>
      <c r="D652">
        <v>78</v>
      </c>
      <c r="E652">
        <v>78</v>
      </c>
      <c r="F652">
        <v>182</v>
      </c>
      <c r="G652" s="1">
        <v>45653</v>
      </c>
      <c r="H652" t="s">
        <v>11</v>
      </c>
      <c r="I652">
        <v>2024</v>
      </c>
      <c r="J652">
        <v>12</v>
      </c>
    </row>
    <row r="653" spans="1:10" x14ac:dyDescent="0.3">
      <c r="A653">
        <v>647</v>
      </c>
      <c r="B653">
        <v>50</v>
      </c>
      <c r="C653">
        <v>4</v>
      </c>
      <c r="D653">
        <v>61</v>
      </c>
      <c r="E653">
        <v>244</v>
      </c>
      <c r="F653">
        <v>207</v>
      </c>
      <c r="G653" s="1">
        <v>45305</v>
      </c>
      <c r="H653" t="s">
        <v>11</v>
      </c>
      <c r="I653">
        <v>2024</v>
      </c>
      <c r="J653">
        <v>1</v>
      </c>
    </row>
    <row r="654" spans="1:10" x14ac:dyDescent="0.3">
      <c r="A654">
        <v>228</v>
      </c>
      <c r="B654">
        <v>10</v>
      </c>
      <c r="C654">
        <v>1</v>
      </c>
      <c r="D654">
        <v>40</v>
      </c>
      <c r="E654">
        <v>40</v>
      </c>
      <c r="F654">
        <v>54</v>
      </c>
      <c r="G654" s="1">
        <v>45317</v>
      </c>
      <c r="H654" t="s">
        <v>11</v>
      </c>
      <c r="I654">
        <v>2024</v>
      </c>
      <c r="J654">
        <v>1</v>
      </c>
    </row>
    <row r="655" spans="1:10" x14ac:dyDescent="0.3">
      <c r="A655">
        <v>623</v>
      </c>
      <c r="B655">
        <v>25</v>
      </c>
      <c r="C655">
        <v>5</v>
      </c>
      <c r="D655">
        <v>42</v>
      </c>
      <c r="E655">
        <v>210</v>
      </c>
      <c r="F655">
        <v>85</v>
      </c>
      <c r="G655" s="1">
        <v>45364</v>
      </c>
      <c r="H655" t="s">
        <v>11</v>
      </c>
      <c r="I655">
        <v>2024</v>
      </c>
      <c r="J655">
        <v>3</v>
      </c>
    </row>
    <row r="656" spans="1:10" x14ac:dyDescent="0.3">
      <c r="A656">
        <v>307</v>
      </c>
      <c r="B656">
        <v>49</v>
      </c>
      <c r="C656">
        <v>1</v>
      </c>
      <c r="D656">
        <v>22</v>
      </c>
      <c r="E656">
        <v>22</v>
      </c>
      <c r="F656">
        <v>246</v>
      </c>
      <c r="G656" s="1">
        <v>45431</v>
      </c>
      <c r="H656" t="s">
        <v>11</v>
      </c>
      <c r="I656">
        <v>2024</v>
      </c>
      <c r="J656">
        <v>5</v>
      </c>
    </row>
    <row r="657" spans="1:10" x14ac:dyDescent="0.3">
      <c r="A657">
        <v>331</v>
      </c>
      <c r="B657">
        <v>5</v>
      </c>
      <c r="C657">
        <v>3</v>
      </c>
      <c r="D657">
        <v>67</v>
      </c>
      <c r="E657">
        <v>201</v>
      </c>
      <c r="F657">
        <v>180</v>
      </c>
      <c r="G657" s="1">
        <v>45621</v>
      </c>
      <c r="H657" t="s">
        <v>11</v>
      </c>
      <c r="I657">
        <v>2024</v>
      </c>
      <c r="J657">
        <v>11</v>
      </c>
    </row>
    <row r="658" spans="1:10" x14ac:dyDescent="0.3">
      <c r="A658">
        <v>331</v>
      </c>
      <c r="B658">
        <v>37</v>
      </c>
      <c r="C658">
        <v>2</v>
      </c>
      <c r="D658">
        <v>113</v>
      </c>
      <c r="E658">
        <v>226</v>
      </c>
      <c r="F658">
        <v>180</v>
      </c>
      <c r="G658" s="1">
        <v>45621</v>
      </c>
      <c r="H658" t="s">
        <v>11</v>
      </c>
      <c r="I658">
        <v>2024</v>
      </c>
      <c r="J658">
        <v>11</v>
      </c>
    </row>
    <row r="659" spans="1:10" x14ac:dyDescent="0.3">
      <c r="A659">
        <v>331</v>
      </c>
      <c r="B659">
        <v>37</v>
      </c>
      <c r="C659">
        <v>3</v>
      </c>
      <c r="D659">
        <v>18</v>
      </c>
      <c r="E659">
        <v>54</v>
      </c>
      <c r="F659">
        <v>180</v>
      </c>
      <c r="G659" s="1">
        <v>45621</v>
      </c>
      <c r="H659" t="s">
        <v>11</v>
      </c>
      <c r="I659">
        <v>2024</v>
      </c>
      <c r="J659">
        <v>11</v>
      </c>
    </row>
    <row r="660" spans="1:10" x14ac:dyDescent="0.3">
      <c r="A660">
        <v>331</v>
      </c>
      <c r="B660">
        <v>33</v>
      </c>
      <c r="C660">
        <v>3</v>
      </c>
      <c r="D660">
        <v>60</v>
      </c>
      <c r="E660">
        <v>180</v>
      </c>
      <c r="F660">
        <v>180</v>
      </c>
      <c r="G660" s="1">
        <v>45621</v>
      </c>
      <c r="H660" t="s">
        <v>11</v>
      </c>
      <c r="I660">
        <v>2024</v>
      </c>
      <c r="J660">
        <v>11</v>
      </c>
    </row>
    <row r="661" spans="1:10" x14ac:dyDescent="0.3">
      <c r="A661">
        <v>331</v>
      </c>
      <c r="B661">
        <v>47</v>
      </c>
      <c r="C661">
        <v>1</v>
      </c>
      <c r="D661">
        <v>24</v>
      </c>
      <c r="E661">
        <v>24</v>
      </c>
      <c r="F661">
        <v>180</v>
      </c>
      <c r="G661" s="1">
        <v>45621</v>
      </c>
      <c r="H661" t="s">
        <v>11</v>
      </c>
      <c r="I661">
        <v>2024</v>
      </c>
      <c r="J661">
        <v>11</v>
      </c>
    </row>
    <row r="662" spans="1:10" x14ac:dyDescent="0.3">
      <c r="A662">
        <v>331</v>
      </c>
      <c r="B662">
        <v>8</v>
      </c>
      <c r="C662">
        <v>5</v>
      </c>
      <c r="D662">
        <v>89</v>
      </c>
      <c r="E662">
        <v>445</v>
      </c>
      <c r="F662">
        <v>180</v>
      </c>
      <c r="G662" s="1">
        <v>45621</v>
      </c>
      <c r="H662" t="s">
        <v>11</v>
      </c>
      <c r="I662">
        <v>2024</v>
      </c>
      <c r="J662">
        <v>11</v>
      </c>
    </row>
    <row r="663" spans="1:10" x14ac:dyDescent="0.3">
      <c r="A663">
        <v>225</v>
      </c>
      <c r="B663">
        <v>37</v>
      </c>
      <c r="C663">
        <v>5</v>
      </c>
      <c r="D663">
        <v>33</v>
      </c>
      <c r="E663">
        <v>165</v>
      </c>
      <c r="F663">
        <v>208</v>
      </c>
      <c r="G663" s="1">
        <v>45434</v>
      </c>
      <c r="H663" t="s">
        <v>11</v>
      </c>
      <c r="I663">
        <v>2024</v>
      </c>
      <c r="J663">
        <v>5</v>
      </c>
    </row>
    <row r="664" spans="1:10" x14ac:dyDescent="0.3">
      <c r="A664">
        <v>983</v>
      </c>
      <c r="B664">
        <v>45</v>
      </c>
      <c r="C664">
        <v>3</v>
      </c>
      <c r="D664">
        <v>82</v>
      </c>
      <c r="E664">
        <v>246</v>
      </c>
      <c r="F664">
        <v>154</v>
      </c>
      <c r="G664" s="1">
        <v>45301</v>
      </c>
      <c r="H664" t="s">
        <v>11</v>
      </c>
      <c r="I664">
        <v>2024</v>
      </c>
      <c r="J664">
        <v>1</v>
      </c>
    </row>
    <row r="665" spans="1:10" x14ac:dyDescent="0.3">
      <c r="A665">
        <v>983</v>
      </c>
      <c r="B665">
        <v>45</v>
      </c>
      <c r="C665">
        <v>4</v>
      </c>
      <c r="D665">
        <v>57</v>
      </c>
      <c r="E665">
        <v>228</v>
      </c>
      <c r="F665">
        <v>154</v>
      </c>
      <c r="G665" s="1">
        <v>45301</v>
      </c>
      <c r="H665" t="s">
        <v>11</v>
      </c>
      <c r="I665">
        <v>2024</v>
      </c>
      <c r="J665">
        <v>1</v>
      </c>
    </row>
    <row r="666" spans="1:10" x14ac:dyDescent="0.3">
      <c r="A666">
        <v>504</v>
      </c>
      <c r="B666">
        <v>29</v>
      </c>
      <c r="C666">
        <v>3</v>
      </c>
      <c r="D666">
        <v>64</v>
      </c>
      <c r="E666">
        <v>192</v>
      </c>
      <c r="F666">
        <v>7</v>
      </c>
      <c r="G666" s="1">
        <v>45562</v>
      </c>
      <c r="H666" t="s">
        <v>11</v>
      </c>
      <c r="I666">
        <v>2024</v>
      </c>
      <c r="J666">
        <v>9</v>
      </c>
    </row>
    <row r="667" spans="1:10" x14ac:dyDescent="0.3">
      <c r="A667">
        <v>504</v>
      </c>
      <c r="B667">
        <v>21</v>
      </c>
      <c r="C667">
        <v>2</v>
      </c>
      <c r="D667">
        <v>98</v>
      </c>
      <c r="E667">
        <v>196</v>
      </c>
      <c r="F667">
        <v>7</v>
      </c>
      <c r="G667" s="1">
        <v>45562</v>
      </c>
      <c r="H667" t="s">
        <v>11</v>
      </c>
      <c r="I667">
        <v>2024</v>
      </c>
      <c r="J667">
        <v>9</v>
      </c>
    </row>
    <row r="668" spans="1:10" x14ac:dyDescent="0.3">
      <c r="A668">
        <v>504</v>
      </c>
      <c r="B668">
        <v>22</v>
      </c>
      <c r="C668">
        <v>3</v>
      </c>
      <c r="D668">
        <v>102</v>
      </c>
      <c r="E668">
        <v>306</v>
      </c>
      <c r="F668">
        <v>7</v>
      </c>
      <c r="G668" s="1">
        <v>45562</v>
      </c>
      <c r="H668" t="s">
        <v>11</v>
      </c>
      <c r="I668">
        <v>2024</v>
      </c>
      <c r="J668">
        <v>9</v>
      </c>
    </row>
    <row r="669" spans="1:10" x14ac:dyDescent="0.3">
      <c r="A669">
        <v>504</v>
      </c>
      <c r="B669">
        <v>6</v>
      </c>
      <c r="C669">
        <v>1</v>
      </c>
      <c r="D669">
        <v>69</v>
      </c>
      <c r="E669">
        <v>69</v>
      </c>
      <c r="F669">
        <v>7</v>
      </c>
      <c r="G669" s="1">
        <v>45562</v>
      </c>
      <c r="H669" t="s">
        <v>11</v>
      </c>
      <c r="I669">
        <v>2024</v>
      </c>
      <c r="J669">
        <v>9</v>
      </c>
    </row>
    <row r="670" spans="1:10" x14ac:dyDescent="0.3">
      <c r="A670">
        <v>504</v>
      </c>
      <c r="B670">
        <v>34</v>
      </c>
      <c r="C670">
        <v>5</v>
      </c>
      <c r="D670">
        <v>20</v>
      </c>
      <c r="E670">
        <v>100</v>
      </c>
      <c r="F670">
        <v>7</v>
      </c>
      <c r="G670" s="1">
        <v>45562</v>
      </c>
      <c r="H670" t="s">
        <v>11</v>
      </c>
      <c r="I670">
        <v>2024</v>
      </c>
      <c r="J670">
        <v>9</v>
      </c>
    </row>
    <row r="671" spans="1:10" x14ac:dyDescent="0.3">
      <c r="A671">
        <v>616</v>
      </c>
      <c r="B671">
        <v>40</v>
      </c>
      <c r="C671">
        <v>2</v>
      </c>
      <c r="D671">
        <v>24</v>
      </c>
      <c r="E671">
        <v>48</v>
      </c>
      <c r="F671">
        <v>259</v>
      </c>
      <c r="G671" s="1">
        <v>45397</v>
      </c>
      <c r="H671" t="s">
        <v>11</v>
      </c>
      <c r="I671">
        <v>2024</v>
      </c>
      <c r="J671">
        <v>4</v>
      </c>
    </row>
    <row r="672" spans="1:10" x14ac:dyDescent="0.3">
      <c r="A672">
        <v>616</v>
      </c>
      <c r="B672">
        <v>25</v>
      </c>
      <c r="C672">
        <v>5</v>
      </c>
      <c r="D672">
        <v>108</v>
      </c>
      <c r="E672">
        <v>540</v>
      </c>
      <c r="F672">
        <v>259</v>
      </c>
      <c r="G672" s="1">
        <v>45397</v>
      </c>
      <c r="H672" t="s">
        <v>11</v>
      </c>
      <c r="I672">
        <v>2024</v>
      </c>
      <c r="J672">
        <v>4</v>
      </c>
    </row>
    <row r="673" spans="1:10" x14ac:dyDescent="0.3">
      <c r="A673">
        <v>616</v>
      </c>
      <c r="B673">
        <v>12</v>
      </c>
      <c r="C673">
        <v>3</v>
      </c>
      <c r="D673">
        <v>83</v>
      </c>
      <c r="E673">
        <v>249</v>
      </c>
      <c r="F673">
        <v>259</v>
      </c>
      <c r="G673" s="1">
        <v>45397</v>
      </c>
      <c r="H673" t="s">
        <v>11</v>
      </c>
      <c r="I673">
        <v>2024</v>
      </c>
      <c r="J673">
        <v>4</v>
      </c>
    </row>
    <row r="674" spans="1:10" x14ac:dyDescent="0.3">
      <c r="A674">
        <v>616</v>
      </c>
      <c r="B674">
        <v>43</v>
      </c>
      <c r="C674">
        <v>3</v>
      </c>
      <c r="D674">
        <v>38</v>
      </c>
      <c r="E674">
        <v>114</v>
      </c>
      <c r="F674">
        <v>259</v>
      </c>
      <c r="G674" s="1">
        <v>45397</v>
      </c>
      <c r="H674" t="s">
        <v>11</v>
      </c>
      <c r="I674">
        <v>2024</v>
      </c>
      <c r="J674">
        <v>4</v>
      </c>
    </row>
    <row r="675" spans="1:10" x14ac:dyDescent="0.3">
      <c r="A675">
        <v>195</v>
      </c>
      <c r="B675">
        <v>30</v>
      </c>
      <c r="C675">
        <v>1</v>
      </c>
      <c r="D675">
        <v>12</v>
      </c>
      <c r="E675">
        <v>12</v>
      </c>
      <c r="F675">
        <v>201</v>
      </c>
      <c r="G675" s="1">
        <v>45422</v>
      </c>
      <c r="H675" t="s">
        <v>11</v>
      </c>
      <c r="I675">
        <v>2024</v>
      </c>
      <c r="J675">
        <v>5</v>
      </c>
    </row>
    <row r="676" spans="1:10" x14ac:dyDescent="0.3">
      <c r="A676">
        <v>195</v>
      </c>
      <c r="B676">
        <v>19</v>
      </c>
      <c r="C676">
        <v>2</v>
      </c>
      <c r="D676">
        <v>26</v>
      </c>
      <c r="E676">
        <v>52</v>
      </c>
      <c r="F676">
        <v>201</v>
      </c>
      <c r="G676" s="1">
        <v>45422</v>
      </c>
      <c r="H676" t="s">
        <v>11</v>
      </c>
      <c r="I676">
        <v>2024</v>
      </c>
      <c r="J676">
        <v>5</v>
      </c>
    </row>
    <row r="677" spans="1:10" x14ac:dyDescent="0.3">
      <c r="A677">
        <v>195</v>
      </c>
      <c r="B677">
        <v>35</v>
      </c>
      <c r="C677">
        <v>5</v>
      </c>
      <c r="D677">
        <v>28</v>
      </c>
      <c r="E677">
        <v>140</v>
      </c>
      <c r="F677">
        <v>201</v>
      </c>
      <c r="G677" s="1">
        <v>45422</v>
      </c>
      <c r="H677" t="s">
        <v>11</v>
      </c>
      <c r="I677">
        <v>2024</v>
      </c>
      <c r="J677">
        <v>5</v>
      </c>
    </row>
    <row r="678" spans="1:10" x14ac:dyDescent="0.3">
      <c r="A678">
        <v>226</v>
      </c>
      <c r="B678">
        <v>39</v>
      </c>
      <c r="C678">
        <v>5</v>
      </c>
      <c r="D678">
        <v>65</v>
      </c>
      <c r="E678">
        <v>325</v>
      </c>
      <c r="F678">
        <v>131</v>
      </c>
      <c r="G678" s="1">
        <v>45350</v>
      </c>
      <c r="H678" t="s">
        <v>11</v>
      </c>
      <c r="I678">
        <v>2024</v>
      </c>
      <c r="J678">
        <v>2</v>
      </c>
    </row>
    <row r="679" spans="1:10" x14ac:dyDescent="0.3">
      <c r="A679">
        <v>226</v>
      </c>
      <c r="B679">
        <v>23</v>
      </c>
      <c r="C679">
        <v>4</v>
      </c>
      <c r="D679">
        <v>82</v>
      </c>
      <c r="E679">
        <v>328</v>
      </c>
      <c r="F679">
        <v>131</v>
      </c>
      <c r="G679" s="1">
        <v>45350</v>
      </c>
      <c r="H679" t="s">
        <v>11</v>
      </c>
      <c r="I679">
        <v>2024</v>
      </c>
      <c r="J679">
        <v>2</v>
      </c>
    </row>
    <row r="680" spans="1:10" x14ac:dyDescent="0.3">
      <c r="A680">
        <v>79</v>
      </c>
      <c r="B680">
        <v>8</v>
      </c>
      <c r="C680">
        <v>3</v>
      </c>
      <c r="D680">
        <v>24</v>
      </c>
      <c r="E680">
        <v>72</v>
      </c>
      <c r="F680">
        <v>63</v>
      </c>
      <c r="G680" s="1">
        <v>45517</v>
      </c>
      <c r="H680" t="s">
        <v>11</v>
      </c>
      <c r="I680">
        <v>2024</v>
      </c>
      <c r="J680">
        <v>8</v>
      </c>
    </row>
    <row r="681" spans="1:10" x14ac:dyDescent="0.3">
      <c r="A681">
        <v>79</v>
      </c>
      <c r="B681">
        <v>24</v>
      </c>
      <c r="C681">
        <v>3</v>
      </c>
      <c r="D681">
        <v>27</v>
      </c>
      <c r="E681">
        <v>81</v>
      </c>
      <c r="F681">
        <v>63</v>
      </c>
      <c r="G681" s="1">
        <v>45517</v>
      </c>
      <c r="H681" t="s">
        <v>11</v>
      </c>
      <c r="I681">
        <v>2024</v>
      </c>
      <c r="J681">
        <v>8</v>
      </c>
    </row>
    <row r="682" spans="1:10" x14ac:dyDescent="0.3">
      <c r="A682">
        <v>124</v>
      </c>
      <c r="B682">
        <v>28</v>
      </c>
      <c r="C682">
        <v>2</v>
      </c>
      <c r="D682">
        <v>118</v>
      </c>
      <c r="E682">
        <v>236</v>
      </c>
      <c r="F682">
        <v>13</v>
      </c>
      <c r="G682" s="1">
        <v>45444</v>
      </c>
      <c r="H682" t="s">
        <v>11</v>
      </c>
      <c r="I682">
        <v>2024</v>
      </c>
      <c r="J682">
        <v>6</v>
      </c>
    </row>
    <row r="683" spans="1:10" x14ac:dyDescent="0.3">
      <c r="A683">
        <v>124</v>
      </c>
      <c r="B683">
        <v>27</v>
      </c>
      <c r="C683">
        <v>5</v>
      </c>
      <c r="D683">
        <v>68</v>
      </c>
      <c r="E683">
        <v>340</v>
      </c>
      <c r="F683">
        <v>13</v>
      </c>
      <c r="G683" s="1">
        <v>45444</v>
      </c>
      <c r="H683" t="s">
        <v>11</v>
      </c>
      <c r="I683">
        <v>2024</v>
      </c>
      <c r="J683">
        <v>6</v>
      </c>
    </row>
    <row r="684" spans="1:10" x14ac:dyDescent="0.3">
      <c r="A684">
        <v>124</v>
      </c>
      <c r="B684">
        <v>34</v>
      </c>
      <c r="C684">
        <v>2</v>
      </c>
      <c r="D684">
        <v>26</v>
      </c>
      <c r="E684">
        <v>52</v>
      </c>
      <c r="F684">
        <v>13</v>
      </c>
      <c r="G684" s="1">
        <v>45444</v>
      </c>
      <c r="H684" t="s">
        <v>11</v>
      </c>
      <c r="I684">
        <v>2024</v>
      </c>
      <c r="J684">
        <v>6</v>
      </c>
    </row>
    <row r="685" spans="1:10" x14ac:dyDescent="0.3">
      <c r="A685">
        <v>516</v>
      </c>
      <c r="B685">
        <v>31</v>
      </c>
      <c r="C685">
        <v>3</v>
      </c>
      <c r="D685">
        <v>56</v>
      </c>
      <c r="E685">
        <v>168</v>
      </c>
      <c r="F685">
        <v>145</v>
      </c>
      <c r="G685" s="1">
        <v>45527</v>
      </c>
      <c r="H685" t="s">
        <v>11</v>
      </c>
      <c r="I685">
        <v>2024</v>
      </c>
      <c r="J685">
        <v>8</v>
      </c>
    </row>
    <row r="686" spans="1:10" x14ac:dyDescent="0.3">
      <c r="A686">
        <v>516</v>
      </c>
      <c r="B686">
        <v>50</v>
      </c>
      <c r="C686">
        <v>2</v>
      </c>
      <c r="D686">
        <v>99</v>
      </c>
      <c r="E686">
        <v>198</v>
      </c>
      <c r="F686">
        <v>145</v>
      </c>
      <c r="G686" s="1">
        <v>45527</v>
      </c>
      <c r="H686" t="s">
        <v>11</v>
      </c>
      <c r="I686">
        <v>2024</v>
      </c>
      <c r="J686">
        <v>8</v>
      </c>
    </row>
    <row r="687" spans="1:10" x14ac:dyDescent="0.3">
      <c r="A687">
        <v>602</v>
      </c>
      <c r="B687">
        <v>21</v>
      </c>
      <c r="C687">
        <v>4</v>
      </c>
      <c r="D687">
        <v>66</v>
      </c>
      <c r="E687">
        <v>264</v>
      </c>
      <c r="F687">
        <v>239</v>
      </c>
      <c r="G687" s="1">
        <v>45516</v>
      </c>
      <c r="H687" t="s">
        <v>11</v>
      </c>
      <c r="I687">
        <v>2024</v>
      </c>
      <c r="J687">
        <v>8</v>
      </c>
    </row>
    <row r="688" spans="1:10" x14ac:dyDescent="0.3">
      <c r="A688">
        <v>393</v>
      </c>
      <c r="B688">
        <v>34</v>
      </c>
      <c r="C688">
        <v>2</v>
      </c>
      <c r="D688">
        <v>80</v>
      </c>
      <c r="E688">
        <v>160</v>
      </c>
      <c r="F688">
        <v>289</v>
      </c>
      <c r="G688" s="1">
        <v>45592</v>
      </c>
      <c r="H688" t="s">
        <v>11</v>
      </c>
      <c r="I688">
        <v>2024</v>
      </c>
      <c r="J688">
        <v>10</v>
      </c>
    </row>
    <row r="689" spans="1:10" x14ac:dyDescent="0.3">
      <c r="A689">
        <v>393</v>
      </c>
      <c r="B689">
        <v>7</v>
      </c>
      <c r="C689">
        <v>1</v>
      </c>
      <c r="D689">
        <v>92</v>
      </c>
      <c r="E689">
        <v>92</v>
      </c>
      <c r="F689">
        <v>289</v>
      </c>
      <c r="G689" s="1">
        <v>45592</v>
      </c>
      <c r="H689" t="s">
        <v>11</v>
      </c>
      <c r="I689">
        <v>2024</v>
      </c>
      <c r="J689">
        <v>10</v>
      </c>
    </row>
    <row r="690" spans="1:10" x14ac:dyDescent="0.3">
      <c r="A690">
        <v>645</v>
      </c>
      <c r="B690">
        <v>25</v>
      </c>
      <c r="C690">
        <v>5</v>
      </c>
      <c r="D690">
        <v>27</v>
      </c>
      <c r="E690">
        <v>135</v>
      </c>
      <c r="F690">
        <v>112</v>
      </c>
      <c r="G690" s="1">
        <v>45479</v>
      </c>
      <c r="H690" t="s">
        <v>11</v>
      </c>
      <c r="I690">
        <v>2024</v>
      </c>
      <c r="J690">
        <v>7</v>
      </c>
    </row>
    <row r="691" spans="1:10" x14ac:dyDescent="0.3">
      <c r="A691">
        <v>645</v>
      </c>
      <c r="B691">
        <v>5</v>
      </c>
      <c r="C691">
        <v>5</v>
      </c>
      <c r="D691">
        <v>73</v>
      </c>
      <c r="E691">
        <v>365</v>
      </c>
      <c r="F691">
        <v>112</v>
      </c>
      <c r="G691" s="1">
        <v>45479</v>
      </c>
      <c r="H691" t="s">
        <v>11</v>
      </c>
      <c r="I691">
        <v>2024</v>
      </c>
      <c r="J691">
        <v>7</v>
      </c>
    </row>
    <row r="692" spans="1:10" x14ac:dyDescent="0.3">
      <c r="A692">
        <v>645</v>
      </c>
      <c r="B692">
        <v>49</v>
      </c>
      <c r="C692">
        <v>3</v>
      </c>
      <c r="D692">
        <v>106</v>
      </c>
      <c r="E692">
        <v>318</v>
      </c>
      <c r="F692">
        <v>112</v>
      </c>
      <c r="G692" s="1">
        <v>45479</v>
      </c>
      <c r="H692" t="s">
        <v>11</v>
      </c>
      <c r="I692">
        <v>2024</v>
      </c>
      <c r="J692">
        <v>7</v>
      </c>
    </row>
    <row r="693" spans="1:10" x14ac:dyDescent="0.3">
      <c r="A693">
        <v>645</v>
      </c>
      <c r="B693">
        <v>6</v>
      </c>
      <c r="C693">
        <v>2</v>
      </c>
      <c r="D693">
        <v>31</v>
      </c>
      <c r="E693">
        <v>62</v>
      </c>
      <c r="F693">
        <v>112</v>
      </c>
      <c r="G693" s="1">
        <v>45479</v>
      </c>
      <c r="H693" t="s">
        <v>11</v>
      </c>
      <c r="I693">
        <v>2024</v>
      </c>
      <c r="J693">
        <v>7</v>
      </c>
    </row>
    <row r="694" spans="1:10" x14ac:dyDescent="0.3">
      <c r="A694">
        <v>824</v>
      </c>
      <c r="B694">
        <v>12</v>
      </c>
      <c r="C694">
        <v>4</v>
      </c>
      <c r="D694">
        <v>91</v>
      </c>
      <c r="E694">
        <v>364</v>
      </c>
      <c r="F694">
        <v>293</v>
      </c>
      <c r="G694" s="1">
        <v>45420</v>
      </c>
      <c r="H694" t="s">
        <v>11</v>
      </c>
      <c r="I694">
        <v>2024</v>
      </c>
      <c r="J694">
        <v>5</v>
      </c>
    </row>
    <row r="695" spans="1:10" x14ac:dyDescent="0.3">
      <c r="A695">
        <v>824</v>
      </c>
      <c r="B695">
        <v>27</v>
      </c>
      <c r="C695">
        <v>5</v>
      </c>
      <c r="D695">
        <v>37</v>
      </c>
      <c r="E695">
        <v>185</v>
      </c>
      <c r="F695">
        <v>293</v>
      </c>
      <c r="G695" s="1">
        <v>45420</v>
      </c>
      <c r="H695" t="s">
        <v>11</v>
      </c>
      <c r="I695">
        <v>2024</v>
      </c>
      <c r="J695">
        <v>5</v>
      </c>
    </row>
    <row r="696" spans="1:10" x14ac:dyDescent="0.3">
      <c r="A696">
        <v>824</v>
      </c>
      <c r="B696">
        <v>18</v>
      </c>
      <c r="C696">
        <v>1</v>
      </c>
      <c r="D696">
        <v>20</v>
      </c>
      <c r="E696">
        <v>20</v>
      </c>
      <c r="F696">
        <v>293</v>
      </c>
      <c r="G696" s="1">
        <v>45420</v>
      </c>
      <c r="H696" t="s">
        <v>11</v>
      </c>
      <c r="I696">
        <v>2024</v>
      </c>
      <c r="J696">
        <v>5</v>
      </c>
    </row>
    <row r="697" spans="1:10" x14ac:dyDescent="0.3">
      <c r="A697">
        <v>980</v>
      </c>
      <c r="B697">
        <v>22</v>
      </c>
      <c r="C697">
        <v>5</v>
      </c>
      <c r="D697">
        <v>97</v>
      </c>
      <c r="E697">
        <v>485</v>
      </c>
      <c r="F697">
        <v>285</v>
      </c>
      <c r="G697" s="1">
        <v>45317</v>
      </c>
      <c r="H697" t="s">
        <v>11</v>
      </c>
      <c r="I697">
        <v>2024</v>
      </c>
      <c r="J697">
        <v>1</v>
      </c>
    </row>
    <row r="698" spans="1:10" x14ac:dyDescent="0.3">
      <c r="A698">
        <v>980</v>
      </c>
      <c r="B698">
        <v>47</v>
      </c>
      <c r="C698">
        <v>1</v>
      </c>
      <c r="D698">
        <v>57</v>
      </c>
      <c r="E698">
        <v>57</v>
      </c>
      <c r="F698">
        <v>285</v>
      </c>
      <c r="G698" s="1">
        <v>45317</v>
      </c>
      <c r="H698" t="s">
        <v>11</v>
      </c>
      <c r="I698">
        <v>2024</v>
      </c>
      <c r="J698">
        <v>1</v>
      </c>
    </row>
    <row r="699" spans="1:10" x14ac:dyDescent="0.3">
      <c r="A699">
        <v>980</v>
      </c>
      <c r="B699">
        <v>11</v>
      </c>
      <c r="C699">
        <v>1</v>
      </c>
      <c r="D699">
        <v>19</v>
      </c>
      <c r="E699">
        <v>19</v>
      </c>
      <c r="F699">
        <v>285</v>
      </c>
      <c r="G699" s="1">
        <v>45317</v>
      </c>
      <c r="H699" t="s">
        <v>11</v>
      </c>
      <c r="I699">
        <v>2024</v>
      </c>
      <c r="J699">
        <v>1</v>
      </c>
    </row>
    <row r="700" spans="1:10" x14ac:dyDescent="0.3">
      <c r="A700">
        <v>434</v>
      </c>
      <c r="B700">
        <v>40</v>
      </c>
      <c r="C700">
        <v>2</v>
      </c>
      <c r="D700">
        <v>11</v>
      </c>
      <c r="E700">
        <v>22</v>
      </c>
      <c r="F700">
        <v>93</v>
      </c>
      <c r="G700" s="1">
        <v>45322</v>
      </c>
      <c r="H700" t="s">
        <v>11</v>
      </c>
      <c r="I700">
        <v>2024</v>
      </c>
      <c r="J700">
        <v>1</v>
      </c>
    </row>
    <row r="701" spans="1:10" x14ac:dyDescent="0.3">
      <c r="A701">
        <v>434</v>
      </c>
      <c r="B701">
        <v>18</v>
      </c>
      <c r="C701">
        <v>4</v>
      </c>
      <c r="D701">
        <v>61</v>
      </c>
      <c r="E701">
        <v>244</v>
      </c>
      <c r="F701">
        <v>93</v>
      </c>
      <c r="G701" s="1">
        <v>45322</v>
      </c>
      <c r="H701" t="s">
        <v>11</v>
      </c>
      <c r="I701">
        <v>2024</v>
      </c>
      <c r="J701">
        <v>1</v>
      </c>
    </row>
    <row r="702" spans="1:10" x14ac:dyDescent="0.3">
      <c r="A702">
        <v>434</v>
      </c>
      <c r="B702">
        <v>1</v>
      </c>
      <c r="C702">
        <v>3</v>
      </c>
      <c r="D702">
        <v>97</v>
      </c>
      <c r="E702">
        <v>291</v>
      </c>
      <c r="F702">
        <v>93</v>
      </c>
      <c r="G702" s="1">
        <v>45322</v>
      </c>
      <c r="H702" t="s">
        <v>11</v>
      </c>
      <c r="I702">
        <v>2024</v>
      </c>
      <c r="J702">
        <v>1</v>
      </c>
    </row>
    <row r="703" spans="1:10" x14ac:dyDescent="0.3">
      <c r="A703">
        <v>143</v>
      </c>
      <c r="B703">
        <v>47</v>
      </c>
      <c r="C703">
        <v>4</v>
      </c>
      <c r="D703">
        <v>93</v>
      </c>
      <c r="E703">
        <v>372</v>
      </c>
      <c r="F703">
        <v>225</v>
      </c>
      <c r="G703" s="1">
        <v>45337</v>
      </c>
      <c r="H703" t="s">
        <v>11</v>
      </c>
      <c r="I703">
        <v>2024</v>
      </c>
      <c r="J703">
        <v>2</v>
      </c>
    </row>
    <row r="704" spans="1:10" x14ac:dyDescent="0.3">
      <c r="A704">
        <v>800</v>
      </c>
      <c r="B704">
        <v>1</v>
      </c>
      <c r="C704">
        <v>4</v>
      </c>
      <c r="D704">
        <v>107</v>
      </c>
      <c r="E704">
        <v>428</v>
      </c>
      <c r="F704">
        <v>75</v>
      </c>
      <c r="G704" s="1">
        <v>45472</v>
      </c>
      <c r="H704" t="s">
        <v>11</v>
      </c>
      <c r="I704">
        <v>2024</v>
      </c>
      <c r="J704">
        <v>6</v>
      </c>
    </row>
    <row r="705" spans="1:10" x14ac:dyDescent="0.3">
      <c r="A705">
        <v>800</v>
      </c>
      <c r="B705">
        <v>17</v>
      </c>
      <c r="C705">
        <v>2</v>
      </c>
      <c r="D705">
        <v>18</v>
      </c>
      <c r="E705">
        <v>36</v>
      </c>
      <c r="F705">
        <v>75</v>
      </c>
      <c r="G705" s="1">
        <v>45472</v>
      </c>
      <c r="H705" t="s">
        <v>11</v>
      </c>
      <c r="I705">
        <v>2024</v>
      </c>
      <c r="J705">
        <v>6</v>
      </c>
    </row>
    <row r="706" spans="1:10" x14ac:dyDescent="0.3">
      <c r="A706">
        <v>278</v>
      </c>
      <c r="B706">
        <v>42</v>
      </c>
      <c r="C706">
        <v>5</v>
      </c>
      <c r="D706">
        <v>35</v>
      </c>
      <c r="E706">
        <v>175</v>
      </c>
      <c r="F706">
        <v>99</v>
      </c>
      <c r="G706" s="1">
        <v>45565</v>
      </c>
      <c r="H706" t="s">
        <v>11</v>
      </c>
      <c r="I706">
        <v>2024</v>
      </c>
      <c r="J706">
        <v>9</v>
      </c>
    </row>
    <row r="707" spans="1:10" x14ac:dyDescent="0.3">
      <c r="A707">
        <v>278</v>
      </c>
      <c r="B707">
        <v>48</v>
      </c>
      <c r="C707">
        <v>5</v>
      </c>
      <c r="D707">
        <v>19</v>
      </c>
      <c r="E707">
        <v>95</v>
      </c>
      <c r="F707">
        <v>99</v>
      </c>
      <c r="G707" s="1">
        <v>45565</v>
      </c>
      <c r="H707" t="s">
        <v>11</v>
      </c>
      <c r="I707">
        <v>2024</v>
      </c>
      <c r="J707">
        <v>9</v>
      </c>
    </row>
    <row r="708" spans="1:10" x14ac:dyDescent="0.3">
      <c r="A708">
        <v>529</v>
      </c>
      <c r="B708">
        <v>21</v>
      </c>
      <c r="C708">
        <v>5</v>
      </c>
      <c r="D708">
        <v>47</v>
      </c>
      <c r="E708">
        <v>235</v>
      </c>
      <c r="F708">
        <v>126</v>
      </c>
      <c r="G708" s="1">
        <v>45611</v>
      </c>
      <c r="H708" t="s">
        <v>11</v>
      </c>
      <c r="I708">
        <v>2024</v>
      </c>
      <c r="J708">
        <v>11</v>
      </c>
    </row>
    <row r="709" spans="1:10" x14ac:dyDescent="0.3">
      <c r="A709">
        <v>529</v>
      </c>
      <c r="B709">
        <v>22</v>
      </c>
      <c r="C709">
        <v>2</v>
      </c>
      <c r="D709">
        <v>33</v>
      </c>
      <c r="E709">
        <v>66</v>
      </c>
      <c r="F709">
        <v>126</v>
      </c>
      <c r="G709" s="1">
        <v>45611</v>
      </c>
      <c r="H709" t="s">
        <v>11</v>
      </c>
      <c r="I709">
        <v>2024</v>
      </c>
      <c r="J709">
        <v>11</v>
      </c>
    </row>
    <row r="710" spans="1:10" x14ac:dyDescent="0.3">
      <c r="A710">
        <v>571</v>
      </c>
      <c r="B710">
        <v>15</v>
      </c>
      <c r="C710">
        <v>3</v>
      </c>
      <c r="D710">
        <v>103</v>
      </c>
      <c r="E710">
        <v>309</v>
      </c>
      <c r="F710">
        <v>164</v>
      </c>
      <c r="G710" s="1">
        <v>45363</v>
      </c>
      <c r="H710" t="s">
        <v>11</v>
      </c>
      <c r="I710">
        <v>2024</v>
      </c>
      <c r="J710">
        <v>3</v>
      </c>
    </row>
    <row r="711" spans="1:10" x14ac:dyDescent="0.3">
      <c r="A711">
        <v>571</v>
      </c>
      <c r="B711">
        <v>38</v>
      </c>
      <c r="C711">
        <v>4</v>
      </c>
      <c r="D711">
        <v>73</v>
      </c>
      <c r="E711">
        <v>292</v>
      </c>
      <c r="F711">
        <v>164</v>
      </c>
      <c r="G711" s="1">
        <v>45363</v>
      </c>
      <c r="H711" t="s">
        <v>11</v>
      </c>
      <c r="I711">
        <v>2024</v>
      </c>
      <c r="J711">
        <v>3</v>
      </c>
    </row>
    <row r="712" spans="1:10" x14ac:dyDescent="0.3">
      <c r="A712">
        <v>571</v>
      </c>
      <c r="B712">
        <v>17</v>
      </c>
      <c r="C712">
        <v>5</v>
      </c>
      <c r="D712">
        <v>50</v>
      </c>
      <c r="E712">
        <v>250</v>
      </c>
      <c r="F712">
        <v>164</v>
      </c>
      <c r="G712" s="1">
        <v>45363</v>
      </c>
      <c r="H712" t="s">
        <v>11</v>
      </c>
      <c r="I712">
        <v>2024</v>
      </c>
      <c r="J712">
        <v>3</v>
      </c>
    </row>
    <row r="713" spans="1:10" x14ac:dyDescent="0.3">
      <c r="A713">
        <v>571</v>
      </c>
      <c r="B713">
        <v>17</v>
      </c>
      <c r="C713">
        <v>1</v>
      </c>
      <c r="D713">
        <v>74</v>
      </c>
      <c r="E713">
        <v>74</v>
      </c>
      <c r="F713">
        <v>164</v>
      </c>
      <c r="G713" s="1">
        <v>45363</v>
      </c>
      <c r="H713" t="s">
        <v>11</v>
      </c>
      <c r="I713">
        <v>2024</v>
      </c>
      <c r="J713">
        <v>3</v>
      </c>
    </row>
    <row r="714" spans="1:10" x14ac:dyDescent="0.3">
      <c r="A714">
        <v>571</v>
      </c>
      <c r="B714">
        <v>25</v>
      </c>
      <c r="C714">
        <v>4</v>
      </c>
      <c r="D714">
        <v>23</v>
      </c>
      <c r="E714">
        <v>92</v>
      </c>
      <c r="F714">
        <v>164</v>
      </c>
      <c r="G714" s="1">
        <v>45363</v>
      </c>
      <c r="H714" t="s">
        <v>11</v>
      </c>
      <c r="I714">
        <v>2024</v>
      </c>
      <c r="J714">
        <v>3</v>
      </c>
    </row>
    <row r="715" spans="1:10" x14ac:dyDescent="0.3">
      <c r="A715">
        <v>492</v>
      </c>
      <c r="B715">
        <v>22</v>
      </c>
      <c r="C715">
        <v>4</v>
      </c>
      <c r="D715">
        <v>14</v>
      </c>
      <c r="E715">
        <v>56</v>
      </c>
      <c r="F715">
        <v>133</v>
      </c>
      <c r="G715" s="1">
        <v>45298</v>
      </c>
      <c r="H715" t="s">
        <v>11</v>
      </c>
      <c r="I715">
        <v>2024</v>
      </c>
      <c r="J715">
        <v>1</v>
      </c>
    </row>
    <row r="716" spans="1:10" x14ac:dyDescent="0.3">
      <c r="A716">
        <v>492</v>
      </c>
      <c r="B716">
        <v>16</v>
      </c>
      <c r="C716">
        <v>1</v>
      </c>
      <c r="D716">
        <v>82</v>
      </c>
      <c r="E716">
        <v>82</v>
      </c>
      <c r="F716">
        <v>133</v>
      </c>
      <c r="G716" s="1">
        <v>45298</v>
      </c>
      <c r="H716" t="s">
        <v>11</v>
      </c>
      <c r="I716">
        <v>2024</v>
      </c>
      <c r="J716">
        <v>1</v>
      </c>
    </row>
    <row r="717" spans="1:10" x14ac:dyDescent="0.3">
      <c r="A717">
        <v>199</v>
      </c>
      <c r="B717">
        <v>38</v>
      </c>
      <c r="C717">
        <v>5</v>
      </c>
      <c r="D717">
        <v>20</v>
      </c>
      <c r="E717">
        <v>100</v>
      </c>
      <c r="F717">
        <v>148</v>
      </c>
      <c r="G717" s="1">
        <v>45393</v>
      </c>
      <c r="H717" t="s">
        <v>11</v>
      </c>
      <c r="I717">
        <v>2024</v>
      </c>
      <c r="J717">
        <v>4</v>
      </c>
    </row>
    <row r="718" spans="1:10" x14ac:dyDescent="0.3">
      <c r="A718">
        <v>199</v>
      </c>
      <c r="B718">
        <v>17</v>
      </c>
      <c r="C718">
        <v>3</v>
      </c>
      <c r="D718">
        <v>37</v>
      </c>
      <c r="E718">
        <v>111</v>
      </c>
      <c r="F718">
        <v>148</v>
      </c>
      <c r="G718" s="1">
        <v>45393</v>
      </c>
      <c r="H718" t="s">
        <v>11</v>
      </c>
      <c r="I718">
        <v>2024</v>
      </c>
      <c r="J718">
        <v>4</v>
      </c>
    </row>
    <row r="719" spans="1:10" x14ac:dyDescent="0.3">
      <c r="A719">
        <v>199</v>
      </c>
      <c r="B719">
        <v>47</v>
      </c>
      <c r="C719">
        <v>2</v>
      </c>
      <c r="D719">
        <v>84</v>
      </c>
      <c r="E719">
        <v>168</v>
      </c>
      <c r="F719">
        <v>148</v>
      </c>
      <c r="G719" s="1">
        <v>45393</v>
      </c>
      <c r="H719" t="s">
        <v>11</v>
      </c>
      <c r="I719">
        <v>2024</v>
      </c>
      <c r="J719">
        <v>4</v>
      </c>
    </row>
    <row r="720" spans="1:10" x14ac:dyDescent="0.3">
      <c r="A720">
        <v>362</v>
      </c>
      <c r="B720">
        <v>35</v>
      </c>
      <c r="C720">
        <v>1</v>
      </c>
      <c r="D720">
        <v>74</v>
      </c>
      <c r="E720">
        <v>74</v>
      </c>
      <c r="F720">
        <v>122</v>
      </c>
      <c r="G720" s="1">
        <v>45359</v>
      </c>
      <c r="H720" t="s">
        <v>11</v>
      </c>
      <c r="I720">
        <v>2024</v>
      </c>
      <c r="J720">
        <v>3</v>
      </c>
    </row>
    <row r="721" spans="1:10" x14ac:dyDescent="0.3">
      <c r="A721">
        <v>362</v>
      </c>
      <c r="B721">
        <v>46</v>
      </c>
      <c r="C721">
        <v>4</v>
      </c>
      <c r="D721">
        <v>83</v>
      </c>
      <c r="E721">
        <v>332</v>
      </c>
      <c r="F721">
        <v>122</v>
      </c>
      <c r="G721" s="1">
        <v>45359</v>
      </c>
      <c r="H721" t="s">
        <v>11</v>
      </c>
      <c r="I721">
        <v>2024</v>
      </c>
      <c r="J721">
        <v>3</v>
      </c>
    </row>
    <row r="722" spans="1:10" x14ac:dyDescent="0.3">
      <c r="A722">
        <v>362</v>
      </c>
      <c r="B722">
        <v>23</v>
      </c>
      <c r="C722">
        <v>3</v>
      </c>
      <c r="D722">
        <v>62</v>
      </c>
      <c r="E722">
        <v>186</v>
      </c>
      <c r="F722">
        <v>122</v>
      </c>
      <c r="G722" s="1">
        <v>45359</v>
      </c>
      <c r="H722" t="s">
        <v>11</v>
      </c>
      <c r="I722">
        <v>2024</v>
      </c>
      <c r="J722">
        <v>3</v>
      </c>
    </row>
    <row r="723" spans="1:10" x14ac:dyDescent="0.3">
      <c r="A723">
        <v>25</v>
      </c>
      <c r="B723">
        <v>8</v>
      </c>
      <c r="C723">
        <v>2</v>
      </c>
      <c r="D723">
        <v>92</v>
      </c>
      <c r="E723">
        <v>184</v>
      </c>
      <c r="F723">
        <v>170</v>
      </c>
      <c r="G723" s="1">
        <v>45579</v>
      </c>
      <c r="H723" t="s">
        <v>11</v>
      </c>
      <c r="I723">
        <v>2024</v>
      </c>
      <c r="J723">
        <v>10</v>
      </c>
    </row>
    <row r="724" spans="1:10" x14ac:dyDescent="0.3">
      <c r="A724">
        <v>25</v>
      </c>
      <c r="B724">
        <v>41</v>
      </c>
      <c r="C724">
        <v>1</v>
      </c>
      <c r="D724">
        <v>82</v>
      </c>
      <c r="E724">
        <v>82</v>
      </c>
      <c r="F724">
        <v>170</v>
      </c>
      <c r="G724" s="1">
        <v>45579</v>
      </c>
      <c r="H724" t="s">
        <v>11</v>
      </c>
      <c r="I724">
        <v>2024</v>
      </c>
      <c r="J724">
        <v>10</v>
      </c>
    </row>
    <row r="725" spans="1:10" x14ac:dyDescent="0.3">
      <c r="A725">
        <v>25</v>
      </c>
      <c r="B725">
        <v>23</v>
      </c>
      <c r="C725">
        <v>3</v>
      </c>
      <c r="D725">
        <v>10</v>
      </c>
      <c r="E725">
        <v>30</v>
      </c>
      <c r="F725">
        <v>170</v>
      </c>
      <c r="G725" s="1">
        <v>45579</v>
      </c>
      <c r="H725" t="s">
        <v>11</v>
      </c>
      <c r="I725">
        <v>2024</v>
      </c>
      <c r="J725">
        <v>10</v>
      </c>
    </row>
    <row r="726" spans="1:10" x14ac:dyDescent="0.3">
      <c r="A726">
        <v>394</v>
      </c>
      <c r="B726">
        <v>47</v>
      </c>
      <c r="C726">
        <v>4</v>
      </c>
      <c r="D726">
        <v>11</v>
      </c>
      <c r="E726">
        <v>44</v>
      </c>
      <c r="F726">
        <v>254</v>
      </c>
      <c r="G726" s="1">
        <v>45515</v>
      </c>
      <c r="H726" t="s">
        <v>11</v>
      </c>
      <c r="I726">
        <v>2024</v>
      </c>
      <c r="J726">
        <v>8</v>
      </c>
    </row>
    <row r="727" spans="1:10" x14ac:dyDescent="0.3">
      <c r="A727">
        <v>507</v>
      </c>
      <c r="B727">
        <v>17</v>
      </c>
      <c r="C727">
        <v>3</v>
      </c>
      <c r="D727">
        <v>94</v>
      </c>
      <c r="E727">
        <v>282</v>
      </c>
      <c r="F727">
        <v>168</v>
      </c>
      <c r="G727" s="1">
        <v>45366</v>
      </c>
      <c r="H727" t="s">
        <v>11</v>
      </c>
      <c r="I727">
        <v>2024</v>
      </c>
      <c r="J727">
        <v>3</v>
      </c>
    </row>
    <row r="728" spans="1:10" x14ac:dyDescent="0.3">
      <c r="A728">
        <v>507</v>
      </c>
      <c r="B728">
        <v>47</v>
      </c>
      <c r="C728">
        <v>1</v>
      </c>
      <c r="D728">
        <v>25</v>
      </c>
      <c r="E728">
        <v>25</v>
      </c>
      <c r="F728">
        <v>168</v>
      </c>
      <c r="G728" s="1">
        <v>45366</v>
      </c>
      <c r="H728" t="s">
        <v>11</v>
      </c>
      <c r="I728">
        <v>2024</v>
      </c>
      <c r="J728">
        <v>3</v>
      </c>
    </row>
    <row r="729" spans="1:10" x14ac:dyDescent="0.3">
      <c r="A729">
        <v>507</v>
      </c>
      <c r="B729">
        <v>16</v>
      </c>
      <c r="C729">
        <v>5</v>
      </c>
      <c r="D729">
        <v>41</v>
      </c>
      <c r="E729">
        <v>205</v>
      </c>
      <c r="F729">
        <v>168</v>
      </c>
      <c r="G729" s="1">
        <v>45366</v>
      </c>
      <c r="H729" t="s">
        <v>11</v>
      </c>
      <c r="I729">
        <v>2024</v>
      </c>
      <c r="J729">
        <v>3</v>
      </c>
    </row>
    <row r="730" spans="1:10" x14ac:dyDescent="0.3">
      <c r="A730">
        <v>301</v>
      </c>
      <c r="B730">
        <v>17</v>
      </c>
      <c r="C730">
        <v>4</v>
      </c>
      <c r="D730">
        <v>29</v>
      </c>
      <c r="E730">
        <v>116</v>
      </c>
      <c r="F730">
        <v>151</v>
      </c>
      <c r="G730" s="1">
        <v>45584</v>
      </c>
      <c r="H730" t="s">
        <v>11</v>
      </c>
      <c r="I730">
        <v>2024</v>
      </c>
      <c r="J730">
        <v>10</v>
      </c>
    </row>
    <row r="731" spans="1:10" x14ac:dyDescent="0.3">
      <c r="A731">
        <v>301</v>
      </c>
      <c r="B731">
        <v>50</v>
      </c>
      <c r="C731">
        <v>4</v>
      </c>
      <c r="D731">
        <v>108</v>
      </c>
      <c r="E731">
        <v>432</v>
      </c>
      <c r="F731">
        <v>151</v>
      </c>
      <c r="G731" s="1">
        <v>45584</v>
      </c>
      <c r="H731" t="s">
        <v>11</v>
      </c>
      <c r="I731">
        <v>2024</v>
      </c>
      <c r="J731">
        <v>10</v>
      </c>
    </row>
    <row r="732" spans="1:10" x14ac:dyDescent="0.3">
      <c r="A732">
        <v>339</v>
      </c>
      <c r="B732">
        <v>26</v>
      </c>
      <c r="C732">
        <v>5</v>
      </c>
      <c r="D732">
        <v>70</v>
      </c>
      <c r="E732">
        <v>350</v>
      </c>
      <c r="F732">
        <v>108</v>
      </c>
      <c r="G732" s="1">
        <v>45296</v>
      </c>
      <c r="H732" t="s">
        <v>11</v>
      </c>
      <c r="I732">
        <v>2024</v>
      </c>
      <c r="J732">
        <v>1</v>
      </c>
    </row>
    <row r="733" spans="1:10" x14ac:dyDescent="0.3">
      <c r="A733">
        <v>339</v>
      </c>
      <c r="B733">
        <v>22</v>
      </c>
      <c r="C733">
        <v>2</v>
      </c>
      <c r="D733">
        <v>111</v>
      </c>
      <c r="E733">
        <v>222</v>
      </c>
      <c r="F733">
        <v>108</v>
      </c>
      <c r="G733" s="1">
        <v>45296</v>
      </c>
      <c r="H733" t="s">
        <v>11</v>
      </c>
      <c r="I733">
        <v>2024</v>
      </c>
      <c r="J733">
        <v>1</v>
      </c>
    </row>
    <row r="734" spans="1:10" x14ac:dyDescent="0.3">
      <c r="A734">
        <v>339</v>
      </c>
      <c r="B734">
        <v>7</v>
      </c>
      <c r="C734">
        <v>4</v>
      </c>
      <c r="D734">
        <v>79</v>
      </c>
      <c r="E734">
        <v>316</v>
      </c>
      <c r="F734">
        <v>108</v>
      </c>
      <c r="G734" s="1">
        <v>45296</v>
      </c>
      <c r="H734" t="s">
        <v>11</v>
      </c>
      <c r="I734">
        <v>2024</v>
      </c>
      <c r="J734">
        <v>1</v>
      </c>
    </row>
    <row r="735" spans="1:10" x14ac:dyDescent="0.3">
      <c r="A735">
        <v>339</v>
      </c>
      <c r="B735">
        <v>15</v>
      </c>
      <c r="C735">
        <v>3</v>
      </c>
      <c r="D735">
        <v>32</v>
      </c>
      <c r="E735">
        <v>96</v>
      </c>
      <c r="F735">
        <v>108</v>
      </c>
      <c r="G735" s="1">
        <v>45296</v>
      </c>
      <c r="H735" t="s">
        <v>11</v>
      </c>
      <c r="I735">
        <v>2024</v>
      </c>
      <c r="J735">
        <v>1</v>
      </c>
    </row>
    <row r="736" spans="1:10" x14ac:dyDescent="0.3">
      <c r="A736">
        <v>267</v>
      </c>
      <c r="B736">
        <v>13</v>
      </c>
      <c r="C736">
        <v>1</v>
      </c>
      <c r="D736">
        <v>96</v>
      </c>
      <c r="E736">
        <v>96</v>
      </c>
      <c r="F736">
        <v>147</v>
      </c>
      <c r="G736" s="1">
        <v>45452</v>
      </c>
      <c r="H736" t="s">
        <v>11</v>
      </c>
      <c r="I736">
        <v>2024</v>
      </c>
      <c r="J736">
        <v>6</v>
      </c>
    </row>
    <row r="737" spans="1:10" x14ac:dyDescent="0.3">
      <c r="A737">
        <v>267</v>
      </c>
      <c r="B737">
        <v>42</v>
      </c>
      <c r="C737">
        <v>4</v>
      </c>
      <c r="D737">
        <v>62</v>
      </c>
      <c r="E737">
        <v>248</v>
      </c>
      <c r="F737">
        <v>147</v>
      </c>
      <c r="G737" s="1">
        <v>45452</v>
      </c>
      <c r="H737" t="s">
        <v>11</v>
      </c>
      <c r="I737">
        <v>2024</v>
      </c>
      <c r="J737">
        <v>6</v>
      </c>
    </row>
    <row r="738" spans="1:10" x14ac:dyDescent="0.3">
      <c r="A738">
        <v>461</v>
      </c>
      <c r="B738">
        <v>17</v>
      </c>
      <c r="C738">
        <v>4</v>
      </c>
      <c r="D738">
        <v>30</v>
      </c>
      <c r="E738">
        <v>120</v>
      </c>
      <c r="F738">
        <v>286</v>
      </c>
      <c r="G738" s="1">
        <v>45617</v>
      </c>
      <c r="H738" t="s">
        <v>11</v>
      </c>
      <c r="I738">
        <v>2024</v>
      </c>
      <c r="J738">
        <v>11</v>
      </c>
    </row>
    <row r="739" spans="1:10" x14ac:dyDescent="0.3">
      <c r="A739">
        <v>360</v>
      </c>
      <c r="B739">
        <v>48</v>
      </c>
      <c r="C739">
        <v>2</v>
      </c>
      <c r="D739">
        <v>21</v>
      </c>
      <c r="E739">
        <v>42</v>
      </c>
      <c r="F739">
        <v>129</v>
      </c>
      <c r="G739" s="1">
        <v>45380</v>
      </c>
      <c r="H739" t="s">
        <v>11</v>
      </c>
      <c r="I739">
        <v>2024</v>
      </c>
      <c r="J739">
        <v>3</v>
      </c>
    </row>
    <row r="740" spans="1:10" x14ac:dyDescent="0.3">
      <c r="A740">
        <v>360</v>
      </c>
      <c r="B740">
        <v>10</v>
      </c>
      <c r="C740">
        <v>4</v>
      </c>
      <c r="D740">
        <v>77</v>
      </c>
      <c r="E740">
        <v>308</v>
      </c>
      <c r="F740">
        <v>129</v>
      </c>
      <c r="G740" s="1">
        <v>45380</v>
      </c>
      <c r="H740" t="s">
        <v>11</v>
      </c>
      <c r="I740">
        <v>2024</v>
      </c>
      <c r="J740">
        <v>3</v>
      </c>
    </row>
    <row r="741" spans="1:10" x14ac:dyDescent="0.3">
      <c r="A741">
        <v>68</v>
      </c>
      <c r="B741">
        <v>14</v>
      </c>
      <c r="C741">
        <v>5</v>
      </c>
      <c r="D741">
        <v>31</v>
      </c>
      <c r="E741">
        <v>155</v>
      </c>
      <c r="F741">
        <v>280</v>
      </c>
      <c r="G741" s="1">
        <v>45594</v>
      </c>
      <c r="H741" t="s">
        <v>11</v>
      </c>
      <c r="I741">
        <v>2024</v>
      </c>
      <c r="J741">
        <v>10</v>
      </c>
    </row>
    <row r="742" spans="1:10" x14ac:dyDescent="0.3">
      <c r="A742">
        <v>68</v>
      </c>
      <c r="B742">
        <v>28</v>
      </c>
      <c r="C742">
        <v>3</v>
      </c>
      <c r="D742">
        <v>105</v>
      </c>
      <c r="E742">
        <v>315</v>
      </c>
      <c r="F742">
        <v>280</v>
      </c>
      <c r="G742" s="1">
        <v>45594</v>
      </c>
      <c r="H742" t="s">
        <v>11</v>
      </c>
      <c r="I742">
        <v>2024</v>
      </c>
      <c r="J742">
        <v>10</v>
      </c>
    </row>
    <row r="743" spans="1:10" x14ac:dyDescent="0.3">
      <c r="A743">
        <v>68</v>
      </c>
      <c r="B743">
        <v>47</v>
      </c>
      <c r="C743">
        <v>5</v>
      </c>
      <c r="D743">
        <v>10</v>
      </c>
      <c r="E743">
        <v>50</v>
      </c>
      <c r="F743">
        <v>280</v>
      </c>
      <c r="G743" s="1">
        <v>45594</v>
      </c>
      <c r="H743" t="s">
        <v>11</v>
      </c>
      <c r="I743">
        <v>2024</v>
      </c>
      <c r="J743">
        <v>10</v>
      </c>
    </row>
    <row r="744" spans="1:10" x14ac:dyDescent="0.3">
      <c r="A744">
        <v>863</v>
      </c>
      <c r="B744">
        <v>45</v>
      </c>
      <c r="C744">
        <v>5</v>
      </c>
      <c r="D744">
        <v>29</v>
      </c>
      <c r="E744">
        <v>145</v>
      </c>
      <c r="F744">
        <v>237</v>
      </c>
      <c r="G744" s="1">
        <v>45380</v>
      </c>
      <c r="H744" t="s">
        <v>11</v>
      </c>
      <c r="I744">
        <v>2024</v>
      </c>
      <c r="J744">
        <v>3</v>
      </c>
    </row>
    <row r="745" spans="1:10" x14ac:dyDescent="0.3">
      <c r="A745">
        <v>863</v>
      </c>
      <c r="B745">
        <v>4</v>
      </c>
      <c r="C745">
        <v>4</v>
      </c>
      <c r="D745">
        <v>58</v>
      </c>
      <c r="E745">
        <v>232</v>
      </c>
      <c r="F745">
        <v>237</v>
      </c>
      <c r="G745" s="1">
        <v>45380</v>
      </c>
      <c r="H745" t="s">
        <v>11</v>
      </c>
      <c r="I745">
        <v>2024</v>
      </c>
      <c r="J745">
        <v>3</v>
      </c>
    </row>
    <row r="746" spans="1:10" x14ac:dyDescent="0.3">
      <c r="A746">
        <v>863</v>
      </c>
      <c r="B746">
        <v>9</v>
      </c>
      <c r="C746">
        <v>1</v>
      </c>
      <c r="D746">
        <v>17</v>
      </c>
      <c r="E746">
        <v>17</v>
      </c>
      <c r="F746">
        <v>237</v>
      </c>
      <c r="G746" s="1">
        <v>45380</v>
      </c>
      <c r="H746" t="s">
        <v>11</v>
      </c>
      <c r="I746">
        <v>2024</v>
      </c>
      <c r="J746">
        <v>3</v>
      </c>
    </row>
    <row r="747" spans="1:10" x14ac:dyDescent="0.3">
      <c r="A747">
        <v>971</v>
      </c>
      <c r="B747">
        <v>35</v>
      </c>
      <c r="C747">
        <v>5</v>
      </c>
      <c r="D747">
        <v>10</v>
      </c>
      <c r="E747">
        <v>50</v>
      </c>
      <c r="F747">
        <v>251</v>
      </c>
      <c r="G747" s="1">
        <v>45463</v>
      </c>
      <c r="H747" t="s">
        <v>11</v>
      </c>
      <c r="I747">
        <v>2024</v>
      </c>
      <c r="J747">
        <v>6</v>
      </c>
    </row>
    <row r="748" spans="1:10" x14ac:dyDescent="0.3">
      <c r="A748">
        <v>971</v>
      </c>
      <c r="B748">
        <v>17</v>
      </c>
      <c r="C748">
        <v>4</v>
      </c>
      <c r="D748">
        <v>92</v>
      </c>
      <c r="E748">
        <v>368</v>
      </c>
      <c r="F748">
        <v>251</v>
      </c>
      <c r="G748" s="1">
        <v>45463</v>
      </c>
      <c r="H748" t="s">
        <v>11</v>
      </c>
      <c r="I748">
        <v>2024</v>
      </c>
      <c r="J748">
        <v>6</v>
      </c>
    </row>
    <row r="749" spans="1:10" x14ac:dyDescent="0.3">
      <c r="A749">
        <v>491</v>
      </c>
      <c r="B749">
        <v>46</v>
      </c>
      <c r="C749">
        <v>5</v>
      </c>
      <c r="D749">
        <v>39</v>
      </c>
      <c r="E749">
        <v>195</v>
      </c>
      <c r="F749">
        <v>122</v>
      </c>
      <c r="G749" s="1">
        <v>45518</v>
      </c>
      <c r="H749" t="s">
        <v>11</v>
      </c>
      <c r="I749">
        <v>2024</v>
      </c>
      <c r="J749">
        <v>8</v>
      </c>
    </row>
    <row r="750" spans="1:10" x14ac:dyDescent="0.3">
      <c r="A750">
        <v>700</v>
      </c>
      <c r="B750">
        <v>31</v>
      </c>
      <c r="C750">
        <v>5</v>
      </c>
      <c r="D750">
        <v>69</v>
      </c>
      <c r="E750">
        <v>345</v>
      </c>
      <c r="F750">
        <v>1</v>
      </c>
      <c r="G750" s="1">
        <v>45645</v>
      </c>
      <c r="H750" t="s">
        <v>11</v>
      </c>
      <c r="I750">
        <v>2024</v>
      </c>
      <c r="J750">
        <v>12</v>
      </c>
    </row>
    <row r="751" spans="1:10" x14ac:dyDescent="0.3">
      <c r="A751">
        <v>700</v>
      </c>
      <c r="B751">
        <v>43</v>
      </c>
      <c r="C751">
        <v>1</v>
      </c>
      <c r="D751">
        <v>20</v>
      </c>
      <c r="E751">
        <v>20</v>
      </c>
      <c r="F751">
        <v>1</v>
      </c>
      <c r="G751" s="1">
        <v>45645</v>
      </c>
      <c r="H751" t="s">
        <v>11</v>
      </c>
      <c r="I751">
        <v>2024</v>
      </c>
      <c r="J751">
        <v>12</v>
      </c>
    </row>
    <row r="752" spans="1:10" x14ac:dyDescent="0.3">
      <c r="A752">
        <v>700</v>
      </c>
      <c r="B752">
        <v>9</v>
      </c>
      <c r="C752">
        <v>3</v>
      </c>
      <c r="D752">
        <v>29</v>
      </c>
      <c r="E752">
        <v>87</v>
      </c>
      <c r="F752">
        <v>1</v>
      </c>
      <c r="G752" s="1">
        <v>45645</v>
      </c>
      <c r="H752" t="s">
        <v>11</v>
      </c>
      <c r="I752">
        <v>2024</v>
      </c>
      <c r="J752">
        <v>12</v>
      </c>
    </row>
    <row r="753" spans="1:10" x14ac:dyDescent="0.3">
      <c r="A753">
        <v>569</v>
      </c>
      <c r="B753">
        <v>35</v>
      </c>
      <c r="C753">
        <v>2</v>
      </c>
      <c r="D753">
        <v>104</v>
      </c>
      <c r="E753">
        <v>208</v>
      </c>
      <c r="F753">
        <v>8</v>
      </c>
      <c r="G753" s="1">
        <v>45496</v>
      </c>
      <c r="H753" t="s">
        <v>11</v>
      </c>
      <c r="I753">
        <v>2024</v>
      </c>
      <c r="J753">
        <v>7</v>
      </c>
    </row>
    <row r="754" spans="1:10" x14ac:dyDescent="0.3">
      <c r="A754">
        <v>569</v>
      </c>
      <c r="B754">
        <v>32</v>
      </c>
      <c r="C754">
        <v>3</v>
      </c>
      <c r="D754">
        <v>32</v>
      </c>
      <c r="E754">
        <v>96</v>
      </c>
      <c r="F754">
        <v>8</v>
      </c>
      <c r="G754" s="1">
        <v>45496</v>
      </c>
      <c r="H754" t="s">
        <v>11</v>
      </c>
      <c r="I754">
        <v>2024</v>
      </c>
      <c r="J754">
        <v>7</v>
      </c>
    </row>
    <row r="755" spans="1:10" x14ac:dyDescent="0.3">
      <c r="A755">
        <v>569</v>
      </c>
      <c r="B755">
        <v>6</v>
      </c>
      <c r="C755">
        <v>5</v>
      </c>
      <c r="D755">
        <v>25</v>
      </c>
      <c r="E755">
        <v>125</v>
      </c>
      <c r="F755">
        <v>8</v>
      </c>
      <c r="G755" s="1">
        <v>45496</v>
      </c>
      <c r="H755" t="s">
        <v>11</v>
      </c>
      <c r="I755">
        <v>2024</v>
      </c>
      <c r="J755">
        <v>7</v>
      </c>
    </row>
    <row r="756" spans="1:10" x14ac:dyDescent="0.3">
      <c r="A756">
        <v>159</v>
      </c>
      <c r="B756">
        <v>5</v>
      </c>
      <c r="C756">
        <v>4</v>
      </c>
      <c r="D756">
        <v>86</v>
      </c>
      <c r="E756">
        <v>344</v>
      </c>
      <c r="F756">
        <v>180</v>
      </c>
      <c r="G756" s="1">
        <v>45404</v>
      </c>
      <c r="H756" t="s">
        <v>11</v>
      </c>
      <c r="I756">
        <v>2024</v>
      </c>
      <c r="J756">
        <v>4</v>
      </c>
    </row>
    <row r="757" spans="1:10" x14ac:dyDescent="0.3">
      <c r="A757">
        <v>242</v>
      </c>
      <c r="B757">
        <v>23</v>
      </c>
      <c r="C757">
        <v>5</v>
      </c>
      <c r="D757">
        <v>86</v>
      </c>
      <c r="E757">
        <v>430</v>
      </c>
      <c r="F757">
        <v>208</v>
      </c>
      <c r="G757" s="1">
        <v>45467</v>
      </c>
      <c r="H757" t="s">
        <v>11</v>
      </c>
      <c r="I757">
        <v>2024</v>
      </c>
      <c r="J757">
        <v>6</v>
      </c>
    </row>
    <row r="758" spans="1:10" x14ac:dyDescent="0.3">
      <c r="A758">
        <v>242</v>
      </c>
      <c r="B758">
        <v>32</v>
      </c>
      <c r="C758">
        <v>5</v>
      </c>
      <c r="D758">
        <v>61</v>
      </c>
      <c r="E758">
        <v>305</v>
      </c>
      <c r="F758">
        <v>208</v>
      </c>
      <c r="G758" s="1">
        <v>45467</v>
      </c>
      <c r="H758" t="s">
        <v>11</v>
      </c>
      <c r="I758">
        <v>2024</v>
      </c>
      <c r="J758">
        <v>6</v>
      </c>
    </row>
    <row r="759" spans="1:10" x14ac:dyDescent="0.3">
      <c r="A759">
        <v>794</v>
      </c>
      <c r="B759">
        <v>25</v>
      </c>
      <c r="C759">
        <v>1</v>
      </c>
      <c r="D759">
        <v>33</v>
      </c>
      <c r="E759">
        <v>33</v>
      </c>
      <c r="F759">
        <v>40</v>
      </c>
      <c r="G759" s="1">
        <v>45616</v>
      </c>
      <c r="H759" t="s">
        <v>11</v>
      </c>
      <c r="I759">
        <v>2024</v>
      </c>
      <c r="J759">
        <v>11</v>
      </c>
    </row>
    <row r="760" spans="1:10" x14ac:dyDescent="0.3">
      <c r="A760">
        <v>794</v>
      </c>
      <c r="B760">
        <v>13</v>
      </c>
      <c r="C760">
        <v>5</v>
      </c>
      <c r="D760">
        <v>64</v>
      </c>
      <c r="E760">
        <v>320</v>
      </c>
      <c r="F760">
        <v>40</v>
      </c>
      <c r="G760" s="1">
        <v>45616</v>
      </c>
      <c r="H760" t="s">
        <v>11</v>
      </c>
      <c r="I760">
        <v>2024</v>
      </c>
      <c r="J760">
        <v>11</v>
      </c>
    </row>
    <row r="761" spans="1:10" x14ac:dyDescent="0.3">
      <c r="A761">
        <v>794</v>
      </c>
      <c r="B761">
        <v>23</v>
      </c>
      <c r="C761">
        <v>1</v>
      </c>
      <c r="D761">
        <v>74</v>
      </c>
      <c r="E761">
        <v>74</v>
      </c>
      <c r="F761">
        <v>40</v>
      </c>
      <c r="G761" s="1">
        <v>45616</v>
      </c>
      <c r="H761" t="s">
        <v>11</v>
      </c>
      <c r="I761">
        <v>2024</v>
      </c>
      <c r="J761">
        <v>11</v>
      </c>
    </row>
    <row r="762" spans="1:10" x14ac:dyDescent="0.3">
      <c r="A762">
        <v>794</v>
      </c>
      <c r="B762">
        <v>2</v>
      </c>
      <c r="C762">
        <v>5</v>
      </c>
      <c r="D762">
        <v>13</v>
      </c>
      <c r="E762">
        <v>65</v>
      </c>
      <c r="F762">
        <v>40</v>
      </c>
      <c r="G762" s="1">
        <v>45616</v>
      </c>
      <c r="H762" t="s">
        <v>11</v>
      </c>
      <c r="I762">
        <v>2024</v>
      </c>
      <c r="J762">
        <v>11</v>
      </c>
    </row>
    <row r="763" spans="1:10" x14ac:dyDescent="0.3">
      <c r="A763">
        <v>753</v>
      </c>
      <c r="B763">
        <v>34</v>
      </c>
      <c r="C763">
        <v>4</v>
      </c>
      <c r="D763">
        <v>63</v>
      </c>
      <c r="E763">
        <v>252</v>
      </c>
      <c r="F763">
        <v>86</v>
      </c>
      <c r="G763" s="1">
        <v>45561</v>
      </c>
      <c r="H763" t="s">
        <v>11</v>
      </c>
      <c r="I763">
        <v>2024</v>
      </c>
      <c r="J763">
        <v>9</v>
      </c>
    </row>
    <row r="764" spans="1:10" x14ac:dyDescent="0.3">
      <c r="A764">
        <v>753</v>
      </c>
      <c r="B764">
        <v>45</v>
      </c>
      <c r="C764">
        <v>1</v>
      </c>
      <c r="D764">
        <v>35</v>
      </c>
      <c r="E764">
        <v>35</v>
      </c>
      <c r="F764">
        <v>86</v>
      </c>
      <c r="G764" s="1">
        <v>45561</v>
      </c>
      <c r="H764" t="s">
        <v>11</v>
      </c>
      <c r="I764">
        <v>2024</v>
      </c>
      <c r="J764">
        <v>9</v>
      </c>
    </row>
    <row r="765" spans="1:10" x14ac:dyDescent="0.3">
      <c r="A765">
        <v>753</v>
      </c>
      <c r="B765">
        <v>12</v>
      </c>
      <c r="C765">
        <v>3</v>
      </c>
      <c r="D765">
        <v>86</v>
      </c>
      <c r="E765">
        <v>258</v>
      </c>
      <c r="F765">
        <v>86</v>
      </c>
      <c r="G765" s="1">
        <v>45561</v>
      </c>
      <c r="H765" t="s">
        <v>11</v>
      </c>
      <c r="I765">
        <v>2024</v>
      </c>
      <c r="J765">
        <v>9</v>
      </c>
    </row>
    <row r="766" spans="1:10" x14ac:dyDescent="0.3">
      <c r="A766">
        <v>753</v>
      </c>
      <c r="B766">
        <v>42</v>
      </c>
      <c r="C766">
        <v>4</v>
      </c>
      <c r="D766">
        <v>84</v>
      </c>
      <c r="E766">
        <v>336</v>
      </c>
      <c r="F766">
        <v>86</v>
      </c>
      <c r="G766" s="1">
        <v>45561</v>
      </c>
      <c r="H766" t="s">
        <v>11</v>
      </c>
      <c r="I766">
        <v>2024</v>
      </c>
      <c r="J766">
        <v>9</v>
      </c>
    </row>
    <row r="767" spans="1:10" x14ac:dyDescent="0.3">
      <c r="A767">
        <v>753</v>
      </c>
      <c r="B767">
        <v>8</v>
      </c>
      <c r="C767">
        <v>1</v>
      </c>
      <c r="D767">
        <v>80</v>
      </c>
      <c r="E767">
        <v>80</v>
      </c>
      <c r="F767">
        <v>86</v>
      </c>
      <c r="G767" s="1">
        <v>45561</v>
      </c>
      <c r="H767" t="s">
        <v>11</v>
      </c>
      <c r="I767">
        <v>2024</v>
      </c>
      <c r="J767">
        <v>9</v>
      </c>
    </row>
    <row r="768" spans="1:10" x14ac:dyDescent="0.3">
      <c r="A768">
        <v>5</v>
      </c>
      <c r="B768">
        <v>47</v>
      </c>
      <c r="C768">
        <v>4</v>
      </c>
      <c r="D768">
        <v>75</v>
      </c>
      <c r="E768">
        <v>300</v>
      </c>
      <c r="F768">
        <v>189</v>
      </c>
      <c r="G768" s="1">
        <v>45309</v>
      </c>
      <c r="H768" t="s">
        <v>11</v>
      </c>
      <c r="I768">
        <v>2024</v>
      </c>
      <c r="J768">
        <v>1</v>
      </c>
    </row>
    <row r="769" spans="1:10" x14ac:dyDescent="0.3">
      <c r="A769">
        <v>596</v>
      </c>
      <c r="B769">
        <v>5</v>
      </c>
      <c r="C769">
        <v>5</v>
      </c>
      <c r="D769">
        <v>89</v>
      </c>
      <c r="E769">
        <v>445</v>
      </c>
      <c r="F769">
        <v>5</v>
      </c>
      <c r="G769" s="1">
        <v>45439</v>
      </c>
      <c r="H769" t="s">
        <v>11</v>
      </c>
      <c r="I769">
        <v>2024</v>
      </c>
      <c r="J769">
        <v>5</v>
      </c>
    </row>
    <row r="770" spans="1:10" x14ac:dyDescent="0.3">
      <c r="A770">
        <v>596</v>
      </c>
      <c r="B770">
        <v>9</v>
      </c>
      <c r="C770">
        <v>1</v>
      </c>
      <c r="D770">
        <v>42</v>
      </c>
      <c r="E770">
        <v>42</v>
      </c>
      <c r="F770">
        <v>5</v>
      </c>
      <c r="G770" s="1">
        <v>45439</v>
      </c>
      <c r="H770" t="s">
        <v>11</v>
      </c>
      <c r="I770">
        <v>2024</v>
      </c>
      <c r="J770">
        <v>5</v>
      </c>
    </row>
    <row r="771" spans="1:10" x14ac:dyDescent="0.3">
      <c r="A771">
        <v>596</v>
      </c>
      <c r="B771">
        <v>26</v>
      </c>
      <c r="C771">
        <v>2</v>
      </c>
      <c r="D771">
        <v>73</v>
      </c>
      <c r="E771">
        <v>146</v>
      </c>
      <c r="F771">
        <v>5</v>
      </c>
      <c r="G771" s="1">
        <v>45439</v>
      </c>
      <c r="H771" t="s">
        <v>11</v>
      </c>
      <c r="I771">
        <v>2024</v>
      </c>
      <c r="J771">
        <v>5</v>
      </c>
    </row>
    <row r="772" spans="1:10" x14ac:dyDescent="0.3">
      <c r="A772">
        <v>596</v>
      </c>
      <c r="B772">
        <v>32</v>
      </c>
      <c r="C772">
        <v>5</v>
      </c>
      <c r="D772">
        <v>105</v>
      </c>
      <c r="E772">
        <v>525</v>
      </c>
      <c r="F772">
        <v>5</v>
      </c>
      <c r="G772" s="1">
        <v>45439</v>
      </c>
      <c r="H772" t="s">
        <v>11</v>
      </c>
      <c r="I772">
        <v>2024</v>
      </c>
      <c r="J772">
        <v>5</v>
      </c>
    </row>
    <row r="773" spans="1:10" x14ac:dyDescent="0.3">
      <c r="A773">
        <v>820</v>
      </c>
      <c r="B773">
        <v>26</v>
      </c>
      <c r="C773">
        <v>4</v>
      </c>
      <c r="D773">
        <v>47</v>
      </c>
      <c r="E773">
        <v>188</v>
      </c>
      <c r="F773">
        <v>1</v>
      </c>
      <c r="G773" s="1">
        <v>45627</v>
      </c>
      <c r="H773" t="s">
        <v>11</v>
      </c>
      <c r="I773">
        <v>2024</v>
      </c>
      <c r="J773">
        <v>12</v>
      </c>
    </row>
    <row r="774" spans="1:10" x14ac:dyDescent="0.3">
      <c r="A774">
        <v>361</v>
      </c>
      <c r="B774">
        <v>20</v>
      </c>
      <c r="C774">
        <v>4</v>
      </c>
      <c r="D774">
        <v>119</v>
      </c>
      <c r="E774">
        <v>476</v>
      </c>
      <c r="F774">
        <v>58</v>
      </c>
      <c r="G774" s="1">
        <v>45620</v>
      </c>
      <c r="H774" t="s">
        <v>11</v>
      </c>
      <c r="I774">
        <v>2024</v>
      </c>
      <c r="J774">
        <v>11</v>
      </c>
    </row>
    <row r="775" spans="1:10" x14ac:dyDescent="0.3">
      <c r="A775">
        <v>361</v>
      </c>
      <c r="B775">
        <v>20</v>
      </c>
      <c r="C775">
        <v>1</v>
      </c>
      <c r="D775">
        <v>17</v>
      </c>
      <c r="E775">
        <v>17</v>
      </c>
      <c r="F775">
        <v>58</v>
      </c>
      <c r="G775" s="1">
        <v>45620</v>
      </c>
      <c r="H775" t="s">
        <v>11</v>
      </c>
      <c r="I775">
        <v>2024</v>
      </c>
      <c r="J775">
        <v>11</v>
      </c>
    </row>
    <row r="776" spans="1:10" x14ac:dyDescent="0.3">
      <c r="A776">
        <v>248</v>
      </c>
      <c r="B776">
        <v>6</v>
      </c>
      <c r="C776">
        <v>5</v>
      </c>
      <c r="D776">
        <v>84</v>
      </c>
      <c r="E776">
        <v>420</v>
      </c>
      <c r="F776">
        <v>135</v>
      </c>
      <c r="G776" s="1">
        <v>45394</v>
      </c>
      <c r="H776" t="s">
        <v>11</v>
      </c>
      <c r="I776">
        <v>2024</v>
      </c>
      <c r="J776">
        <v>4</v>
      </c>
    </row>
    <row r="777" spans="1:10" x14ac:dyDescent="0.3">
      <c r="A777">
        <v>248</v>
      </c>
      <c r="B777">
        <v>29</v>
      </c>
      <c r="C777">
        <v>2</v>
      </c>
      <c r="D777">
        <v>59</v>
      </c>
      <c r="E777">
        <v>118</v>
      </c>
      <c r="F777">
        <v>135</v>
      </c>
      <c r="G777" s="1">
        <v>45394</v>
      </c>
      <c r="H777" t="s">
        <v>11</v>
      </c>
      <c r="I777">
        <v>2024</v>
      </c>
      <c r="J777">
        <v>4</v>
      </c>
    </row>
    <row r="778" spans="1:10" x14ac:dyDescent="0.3">
      <c r="A778">
        <v>248</v>
      </c>
      <c r="B778">
        <v>49</v>
      </c>
      <c r="C778">
        <v>3</v>
      </c>
      <c r="D778">
        <v>21</v>
      </c>
      <c r="E778">
        <v>63</v>
      </c>
      <c r="F778">
        <v>135</v>
      </c>
      <c r="G778" s="1">
        <v>45394</v>
      </c>
      <c r="H778" t="s">
        <v>11</v>
      </c>
      <c r="I778">
        <v>2024</v>
      </c>
      <c r="J778">
        <v>4</v>
      </c>
    </row>
    <row r="779" spans="1:10" x14ac:dyDescent="0.3">
      <c r="A779">
        <v>248</v>
      </c>
      <c r="B779">
        <v>48</v>
      </c>
      <c r="C779">
        <v>4</v>
      </c>
      <c r="D779">
        <v>11</v>
      </c>
      <c r="E779">
        <v>44</v>
      </c>
      <c r="F779">
        <v>135</v>
      </c>
      <c r="G779" s="1">
        <v>45394</v>
      </c>
      <c r="H779" t="s">
        <v>11</v>
      </c>
      <c r="I779">
        <v>2024</v>
      </c>
      <c r="J779">
        <v>4</v>
      </c>
    </row>
    <row r="780" spans="1:10" x14ac:dyDescent="0.3">
      <c r="A780">
        <v>673</v>
      </c>
      <c r="B780">
        <v>18</v>
      </c>
      <c r="C780">
        <v>2</v>
      </c>
      <c r="D780">
        <v>44</v>
      </c>
      <c r="E780">
        <v>88</v>
      </c>
      <c r="F780">
        <v>53</v>
      </c>
      <c r="G780" s="1">
        <v>45652</v>
      </c>
      <c r="H780" t="s">
        <v>11</v>
      </c>
      <c r="I780">
        <v>2024</v>
      </c>
      <c r="J780">
        <v>12</v>
      </c>
    </row>
    <row r="781" spans="1:10" x14ac:dyDescent="0.3">
      <c r="A781">
        <v>422</v>
      </c>
      <c r="B781">
        <v>17</v>
      </c>
      <c r="C781">
        <v>2</v>
      </c>
      <c r="D781">
        <v>38</v>
      </c>
      <c r="E781">
        <v>76</v>
      </c>
      <c r="F781">
        <v>168</v>
      </c>
      <c r="G781" s="1">
        <v>45472</v>
      </c>
      <c r="H781" t="s">
        <v>11</v>
      </c>
      <c r="I781">
        <v>2024</v>
      </c>
      <c r="J781">
        <v>6</v>
      </c>
    </row>
    <row r="782" spans="1:10" x14ac:dyDescent="0.3">
      <c r="A782">
        <v>738</v>
      </c>
      <c r="B782">
        <v>14</v>
      </c>
      <c r="C782">
        <v>2</v>
      </c>
      <c r="D782">
        <v>90</v>
      </c>
      <c r="E782">
        <v>180</v>
      </c>
      <c r="F782">
        <v>3</v>
      </c>
      <c r="G782" s="1">
        <v>45617</v>
      </c>
      <c r="H782" t="s">
        <v>11</v>
      </c>
      <c r="I782">
        <v>2024</v>
      </c>
      <c r="J782">
        <v>11</v>
      </c>
    </row>
    <row r="783" spans="1:10" x14ac:dyDescent="0.3">
      <c r="A783">
        <v>15</v>
      </c>
      <c r="B783">
        <v>13</v>
      </c>
      <c r="C783">
        <v>3</v>
      </c>
      <c r="D783">
        <v>67</v>
      </c>
      <c r="E783">
        <v>201</v>
      </c>
      <c r="F783">
        <v>258</v>
      </c>
      <c r="G783" s="1">
        <v>45423</v>
      </c>
      <c r="H783" t="s">
        <v>11</v>
      </c>
      <c r="I783">
        <v>2024</v>
      </c>
      <c r="J783">
        <v>5</v>
      </c>
    </row>
    <row r="784" spans="1:10" x14ac:dyDescent="0.3">
      <c r="A784">
        <v>573</v>
      </c>
      <c r="B784">
        <v>44</v>
      </c>
      <c r="C784">
        <v>4</v>
      </c>
      <c r="D784">
        <v>48</v>
      </c>
      <c r="E784">
        <v>192</v>
      </c>
      <c r="F784">
        <v>136</v>
      </c>
      <c r="G784" s="1">
        <v>45565</v>
      </c>
      <c r="H784" t="s">
        <v>11</v>
      </c>
      <c r="I784">
        <v>2024</v>
      </c>
      <c r="J784">
        <v>9</v>
      </c>
    </row>
    <row r="785" spans="1:10" x14ac:dyDescent="0.3">
      <c r="A785">
        <v>573</v>
      </c>
      <c r="B785">
        <v>4</v>
      </c>
      <c r="C785">
        <v>2</v>
      </c>
      <c r="D785">
        <v>81</v>
      </c>
      <c r="E785">
        <v>162</v>
      </c>
      <c r="F785">
        <v>136</v>
      </c>
      <c r="G785" s="1">
        <v>45565</v>
      </c>
      <c r="H785" t="s">
        <v>11</v>
      </c>
      <c r="I785">
        <v>2024</v>
      </c>
      <c r="J785">
        <v>9</v>
      </c>
    </row>
    <row r="786" spans="1:10" x14ac:dyDescent="0.3">
      <c r="A786">
        <v>573</v>
      </c>
      <c r="B786">
        <v>40</v>
      </c>
      <c r="C786">
        <v>4</v>
      </c>
      <c r="D786">
        <v>116</v>
      </c>
      <c r="E786">
        <v>464</v>
      </c>
      <c r="F786">
        <v>136</v>
      </c>
      <c r="G786" s="1">
        <v>45565</v>
      </c>
      <c r="H786" t="s">
        <v>11</v>
      </c>
      <c r="I786">
        <v>2024</v>
      </c>
      <c r="J786">
        <v>9</v>
      </c>
    </row>
    <row r="787" spans="1:10" x14ac:dyDescent="0.3">
      <c r="A787">
        <v>573</v>
      </c>
      <c r="B787">
        <v>13</v>
      </c>
      <c r="C787">
        <v>2</v>
      </c>
      <c r="D787">
        <v>44</v>
      </c>
      <c r="E787">
        <v>88</v>
      </c>
      <c r="F787">
        <v>136</v>
      </c>
      <c r="G787" s="1">
        <v>45565</v>
      </c>
      <c r="H787" t="s">
        <v>11</v>
      </c>
      <c r="I787">
        <v>2024</v>
      </c>
      <c r="J787">
        <v>9</v>
      </c>
    </row>
    <row r="788" spans="1:10" x14ac:dyDescent="0.3">
      <c r="A788">
        <v>573</v>
      </c>
      <c r="B788">
        <v>30</v>
      </c>
      <c r="C788">
        <v>5</v>
      </c>
      <c r="D788">
        <v>12</v>
      </c>
      <c r="E788">
        <v>60</v>
      </c>
      <c r="F788">
        <v>136</v>
      </c>
      <c r="G788" s="1">
        <v>45565</v>
      </c>
      <c r="H788" t="s">
        <v>11</v>
      </c>
      <c r="I788">
        <v>2024</v>
      </c>
      <c r="J788">
        <v>9</v>
      </c>
    </row>
    <row r="789" spans="1:10" x14ac:dyDescent="0.3">
      <c r="A789">
        <v>122</v>
      </c>
      <c r="B789">
        <v>15</v>
      </c>
      <c r="C789">
        <v>5</v>
      </c>
      <c r="D789">
        <v>51</v>
      </c>
      <c r="E789">
        <v>255</v>
      </c>
      <c r="F789">
        <v>29</v>
      </c>
      <c r="G789" s="1">
        <v>45308</v>
      </c>
      <c r="H789" t="s">
        <v>11</v>
      </c>
      <c r="I789">
        <v>2024</v>
      </c>
      <c r="J789">
        <v>1</v>
      </c>
    </row>
    <row r="790" spans="1:10" x14ac:dyDescent="0.3">
      <c r="A790">
        <v>122</v>
      </c>
      <c r="B790">
        <v>23</v>
      </c>
      <c r="C790">
        <v>3</v>
      </c>
      <c r="D790">
        <v>58</v>
      </c>
      <c r="E790">
        <v>174</v>
      </c>
      <c r="F790">
        <v>29</v>
      </c>
      <c r="G790" s="1">
        <v>45308</v>
      </c>
      <c r="H790" t="s">
        <v>11</v>
      </c>
      <c r="I790">
        <v>2024</v>
      </c>
      <c r="J790">
        <v>1</v>
      </c>
    </row>
    <row r="791" spans="1:10" x14ac:dyDescent="0.3">
      <c r="A791">
        <v>277</v>
      </c>
      <c r="B791">
        <v>19</v>
      </c>
      <c r="C791">
        <v>1</v>
      </c>
      <c r="D791">
        <v>37</v>
      </c>
      <c r="E791">
        <v>37</v>
      </c>
      <c r="F791">
        <v>6</v>
      </c>
      <c r="G791" s="1">
        <v>45432</v>
      </c>
      <c r="H791" t="s">
        <v>11</v>
      </c>
      <c r="I791">
        <v>2024</v>
      </c>
      <c r="J791">
        <v>5</v>
      </c>
    </row>
    <row r="792" spans="1:10" x14ac:dyDescent="0.3">
      <c r="A792">
        <v>277</v>
      </c>
      <c r="B792">
        <v>6</v>
      </c>
      <c r="C792">
        <v>2</v>
      </c>
      <c r="D792">
        <v>88</v>
      </c>
      <c r="E792">
        <v>176</v>
      </c>
      <c r="F792">
        <v>6</v>
      </c>
      <c r="G792" s="1">
        <v>45432</v>
      </c>
      <c r="H792" t="s">
        <v>11</v>
      </c>
      <c r="I792">
        <v>2024</v>
      </c>
      <c r="J792">
        <v>5</v>
      </c>
    </row>
    <row r="793" spans="1:10" x14ac:dyDescent="0.3">
      <c r="A793">
        <v>277</v>
      </c>
      <c r="B793">
        <v>34</v>
      </c>
      <c r="C793">
        <v>1</v>
      </c>
      <c r="D793">
        <v>55</v>
      </c>
      <c r="E793">
        <v>55</v>
      </c>
      <c r="F793">
        <v>6</v>
      </c>
      <c r="G793" s="1">
        <v>45432</v>
      </c>
      <c r="H793" t="s">
        <v>11</v>
      </c>
      <c r="I793">
        <v>2024</v>
      </c>
      <c r="J793">
        <v>5</v>
      </c>
    </row>
    <row r="794" spans="1:10" x14ac:dyDescent="0.3">
      <c r="A794">
        <v>453</v>
      </c>
      <c r="B794">
        <v>47</v>
      </c>
      <c r="C794">
        <v>5</v>
      </c>
      <c r="D794">
        <v>52</v>
      </c>
      <c r="E794">
        <v>260</v>
      </c>
      <c r="F794">
        <v>190</v>
      </c>
      <c r="G794" s="1">
        <v>45308</v>
      </c>
      <c r="H794" t="s">
        <v>11</v>
      </c>
      <c r="I794">
        <v>2024</v>
      </c>
      <c r="J794">
        <v>1</v>
      </c>
    </row>
    <row r="795" spans="1:10" x14ac:dyDescent="0.3">
      <c r="A795">
        <v>453</v>
      </c>
      <c r="B795">
        <v>16</v>
      </c>
      <c r="C795">
        <v>5</v>
      </c>
      <c r="D795">
        <v>86</v>
      </c>
      <c r="E795">
        <v>430</v>
      </c>
      <c r="F795">
        <v>190</v>
      </c>
      <c r="G795" s="1">
        <v>45308</v>
      </c>
      <c r="H795" t="s">
        <v>11</v>
      </c>
      <c r="I795">
        <v>2024</v>
      </c>
      <c r="J795">
        <v>1</v>
      </c>
    </row>
    <row r="796" spans="1:10" x14ac:dyDescent="0.3">
      <c r="A796">
        <v>453</v>
      </c>
      <c r="B796">
        <v>26</v>
      </c>
      <c r="C796">
        <v>5</v>
      </c>
      <c r="D796">
        <v>95</v>
      </c>
      <c r="E796">
        <v>475</v>
      </c>
      <c r="F796">
        <v>190</v>
      </c>
      <c r="G796" s="1">
        <v>45308</v>
      </c>
      <c r="H796" t="s">
        <v>11</v>
      </c>
      <c r="I796">
        <v>2024</v>
      </c>
      <c r="J796">
        <v>1</v>
      </c>
    </row>
    <row r="797" spans="1:10" x14ac:dyDescent="0.3">
      <c r="A797">
        <v>590</v>
      </c>
      <c r="B797">
        <v>36</v>
      </c>
      <c r="C797">
        <v>3</v>
      </c>
      <c r="D797">
        <v>56</v>
      </c>
      <c r="E797">
        <v>168</v>
      </c>
      <c r="F797">
        <v>256</v>
      </c>
      <c r="G797" s="1">
        <v>45337</v>
      </c>
      <c r="H797" t="s">
        <v>11</v>
      </c>
      <c r="I797">
        <v>2024</v>
      </c>
      <c r="J797">
        <v>2</v>
      </c>
    </row>
    <row r="798" spans="1:10" x14ac:dyDescent="0.3">
      <c r="A798">
        <v>714</v>
      </c>
      <c r="B798">
        <v>35</v>
      </c>
      <c r="C798">
        <v>3</v>
      </c>
      <c r="D798">
        <v>51</v>
      </c>
      <c r="E798">
        <v>153</v>
      </c>
      <c r="F798">
        <v>239</v>
      </c>
      <c r="G798" s="1">
        <v>45331</v>
      </c>
      <c r="H798" t="s">
        <v>11</v>
      </c>
      <c r="I798">
        <v>2024</v>
      </c>
      <c r="J798">
        <v>2</v>
      </c>
    </row>
    <row r="799" spans="1:10" x14ac:dyDescent="0.3">
      <c r="A799">
        <v>714</v>
      </c>
      <c r="B799">
        <v>29</v>
      </c>
      <c r="C799">
        <v>3</v>
      </c>
      <c r="D799">
        <v>98</v>
      </c>
      <c r="E799">
        <v>294</v>
      </c>
      <c r="F799">
        <v>239</v>
      </c>
      <c r="G799" s="1">
        <v>45331</v>
      </c>
      <c r="H799" t="s">
        <v>11</v>
      </c>
      <c r="I799">
        <v>2024</v>
      </c>
      <c r="J799">
        <v>2</v>
      </c>
    </row>
    <row r="800" spans="1:10" x14ac:dyDescent="0.3">
      <c r="A800">
        <v>714</v>
      </c>
      <c r="B800">
        <v>9</v>
      </c>
      <c r="C800">
        <v>4</v>
      </c>
      <c r="D800">
        <v>30</v>
      </c>
      <c r="E800">
        <v>120</v>
      </c>
      <c r="F800">
        <v>239</v>
      </c>
      <c r="G800" s="1">
        <v>45331</v>
      </c>
      <c r="H800" t="s">
        <v>11</v>
      </c>
      <c r="I800">
        <v>2024</v>
      </c>
      <c r="J800">
        <v>2</v>
      </c>
    </row>
    <row r="801" spans="1:10" x14ac:dyDescent="0.3">
      <c r="A801">
        <v>302</v>
      </c>
      <c r="B801">
        <v>32</v>
      </c>
      <c r="C801">
        <v>2</v>
      </c>
      <c r="D801">
        <v>103</v>
      </c>
      <c r="E801">
        <v>206</v>
      </c>
      <c r="F801">
        <v>127</v>
      </c>
      <c r="G801" s="1">
        <v>45444</v>
      </c>
      <c r="H801" t="s">
        <v>11</v>
      </c>
      <c r="I801">
        <v>2024</v>
      </c>
      <c r="J801">
        <v>6</v>
      </c>
    </row>
    <row r="802" spans="1:10" x14ac:dyDescent="0.3">
      <c r="A802">
        <v>302</v>
      </c>
      <c r="B802">
        <v>33</v>
      </c>
      <c r="C802">
        <v>4</v>
      </c>
      <c r="D802">
        <v>66</v>
      </c>
      <c r="E802">
        <v>264</v>
      </c>
      <c r="F802">
        <v>127</v>
      </c>
      <c r="G802" s="1">
        <v>45444</v>
      </c>
      <c r="H802" t="s">
        <v>11</v>
      </c>
      <c r="I802">
        <v>2024</v>
      </c>
      <c r="J802">
        <v>6</v>
      </c>
    </row>
    <row r="803" spans="1:10" x14ac:dyDescent="0.3">
      <c r="A803">
        <v>909</v>
      </c>
      <c r="B803">
        <v>48</v>
      </c>
      <c r="C803">
        <v>4</v>
      </c>
      <c r="D803">
        <v>41</v>
      </c>
      <c r="E803">
        <v>164</v>
      </c>
      <c r="F803">
        <v>157</v>
      </c>
      <c r="G803" s="1">
        <v>45445</v>
      </c>
      <c r="H803" t="s">
        <v>11</v>
      </c>
      <c r="I803">
        <v>2024</v>
      </c>
      <c r="J803">
        <v>6</v>
      </c>
    </row>
    <row r="804" spans="1:10" x14ac:dyDescent="0.3">
      <c r="A804">
        <v>909</v>
      </c>
      <c r="B804">
        <v>21</v>
      </c>
      <c r="C804">
        <v>2</v>
      </c>
      <c r="D804">
        <v>102</v>
      </c>
      <c r="E804">
        <v>204</v>
      </c>
      <c r="F804">
        <v>157</v>
      </c>
      <c r="G804" s="1">
        <v>45445</v>
      </c>
      <c r="H804" t="s">
        <v>11</v>
      </c>
      <c r="I804">
        <v>2024</v>
      </c>
      <c r="J804">
        <v>6</v>
      </c>
    </row>
    <row r="805" spans="1:10" x14ac:dyDescent="0.3">
      <c r="A805">
        <v>909</v>
      </c>
      <c r="B805">
        <v>33</v>
      </c>
      <c r="C805">
        <v>1</v>
      </c>
      <c r="D805">
        <v>53</v>
      </c>
      <c r="E805">
        <v>53</v>
      </c>
      <c r="F805">
        <v>157</v>
      </c>
      <c r="G805" s="1">
        <v>45445</v>
      </c>
      <c r="H805" t="s">
        <v>11</v>
      </c>
      <c r="I805">
        <v>2024</v>
      </c>
      <c r="J805">
        <v>6</v>
      </c>
    </row>
    <row r="806" spans="1:10" x14ac:dyDescent="0.3">
      <c r="A806">
        <v>223</v>
      </c>
      <c r="B806">
        <v>44</v>
      </c>
      <c r="C806">
        <v>4</v>
      </c>
      <c r="D806">
        <v>41</v>
      </c>
      <c r="E806">
        <v>164</v>
      </c>
      <c r="F806">
        <v>99</v>
      </c>
      <c r="G806" s="1">
        <v>45380</v>
      </c>
      <c r="H806" t="s">
        <v>11</v>
      </c>
      <c r="I806">
        <v>2024</v>
      </c>
      <c r="J806">
        <v>3</v>
      </c>
    </row>
    <row r="807" spans="1:10" x14ac:dyDescent="0.3">
      <c r="A807">
        <v>223</v>
      </c>
      <c r="B807">
        <v>47</v>
      </c>
      <c r="C807">
        <v>3</v>
      </c>
      <c r="D807">
        <v>74</v>
      </c>
      <c r="E807">
        <v>222</v>
      </c>
      <c r="F807">
        <v>99</v>
      </c>
      <c r="G807" s="1">
        <v>45380</v>
      </c>
      <c r="H807" t="s">
        <v>11</v>
      </c>
      <c r="I807">
        <v>2024</v>
      </c>
      <c r="J807">
        <v>3</v>
      </c>
    </row>
    <row r="808" spans="1:10" x14ac:dyDescent="0.3">
      <c r="A808">
        <v>223</v>
      </c>
      <c r="B808">
        <v>17</v>
      </c>
      <c r="C808">
        <v>1</v>
      </c>
      <c r="D808">
        <v>105</v>
      </c>
      <c r="E808">
        <v>105</v>
      </c>
      <c r="F808">
        <v>99</v>
      </c>
      <c r="G808" s="1">
        <v>45380</v>
      </c>
      <c r="H808" t="s">
        <v>11</v>
      </c>
      <c r="I808">
        <v>2024</v>
      </c>
      <c r="J808">
        <v>3</v>
      </c>
    </row>
    <row r="809" spans="1:10" x14ac:dyDescent="0.3">
      <c r="A809">
        <v>93</v>
      </c>
      <c r="B809">
        <v>43</v>
      </c>
      <c r="C809">
        <v>2</v>
      </c>
      <c r="D809">
        <v>65</v>
      </c>
      <c r="E809">
        <v>130</v>
      </c>
      <c r="F809">
        <v>62</v>
      </c>
      <c r="G809" s="1">
        <v>45500</v>
      </c>
      <c r="H809" t="s">
        <v>11</v>
      </c>
      <c r="I809">
        <v>2024</v>
      </c>
      <c r="J809">
        <v>7</v>
      </c>
    </row>
    <row r="810" spans="1:10" x14ac:dyDescent="0.3">
      <c r="A810">
        <v>93</v>
      </c>
      <c r="B810">
        <v>6</v>
      </c>
      <c r="C810">
        <v>3</v>
      </c>
      <c r="D810">
        <v>37</v>
      </c>
      <c r="E810">
        <v>111</v>
      </c>
      <c r="F810">
        <v>62</v>
      </c>
      <c r="G810" s="1">
        <v>45500</v>
      </c>
      <c r="H810" t="s">
        <v>11</v>
      </c>
      <c r="I810">
        <v>2024</v>
      </c>
      <c r="J810">
        <v>7</v>
      </c>
    </row>
    <row r="811" spans="1:10" x14ac:dyDescent="0.3">
      <c r="A811">
        <v>93</v>
      </c>
      <c r="B811">
        <v>23</v>
      </c>
      <c r="C811">
        <v>4</v>
      </c>
      <c r="D811">
        <v>102</v>
      </c>
      <c r="E811">
        <v>408</v>
      </c>
      <c r="F811">
        <v>62</v>
      </c>
      <c r="G811" s="1">
        <v>45500</v>
      </c>
      <c r="H811" t="s">
        <v>11</v>
      </c>
      <c r="I811">
        <v>2024</v>
      </c>
      <c r="J811">
        <v>7</v>
      </c>
    </row>
    <row r="812" spans="1:10" x14ac:dyDescent="0.3">
      <c r="A812">
        <v>93</v>
      </c>
      <c r="B812">
        <v>15</v>
      </c>
      <c r="C812">
        <v>5</v>
      </c>
      <c r="D812">
        <v>68</v>
      </c>
      <c r="E812">
        <v>340</v>
      </c>
      <c r="F812">
        <v>62</v>
      </c>
      <c r="G812" s="1">
        <v>45500</v>
      </c>
      <c r="H812" t="s">
        <v>11</v>
      </c>
      <c r="I812">
        <v>2024</v>
      </c>
      <c r="J812">
        <v>7</v>
      </c>
    </row>
    <row r="813" spans="1:10" x14ac:dyDescent="0.3">
      <c r="A813">
        <v>93</v>
      </c>
      <c r="B813">
        <v>38</v>
      </c>
      <c r="C813">
        <v>4</v>
      </c>
      <c r="D813">
        <v>55</v>
      </c>
      <c r="E813">
        <v>220</v>
      </c>
      <c r="F813">
        <v>62</v>
      </c>
      <c r="G813" s="1">
        <v>45500</v>
      </c>
      <c r="H813" t="s">
        <v>11</v>
      </c>
      <c r="I813">
        <v>2024</v>
      </c>
      <c r="J813">
        <v>7</v>
      </c>
    </row>
    <row r="814" spans="1:10" x14ac:dyDescent="0.3">
      <c r="A814">
        <v>93</v>
      </c>
      <c r="B814">
        <v>44</v>
      </c>
      <c r="C814">
        <v>5</v>
      </c>
      <c r="D814">
        <v>60</v>
      </c>
      <c r="E814">
        <v>300</v>
      </c>
      <c r="F814">
        <v>62</v>
      </c>
      <c r="G814" s="1">
        <v>45500</v>
      </c>
      <c r="H814" t="s">
        <v>11</v>
      </c>
      <c r="I814">
        <v>2024</v>
      </c>
      <c r="J814">
        <v>7</v>
      </c>
    </row>
    <row r="815" spans="1:10" x14ac:dyDescent="0.3">
      <c r="A815">
        <v>520</v>
      </c>
      <c r="B815">
        <v>50</v>
      </c>
      <c r="C815">
        <v>4</v>
      </c>
      <c r="D815">
        <v>115</v>
      </c>
      <c r="E815">
        <v>460</v>
      </c>
      <c r="F815">
        <v>70</v>
      </c>
      <c r="G815" s="1">
        <v>45648</v>
      </c>
      <c r="H815" t="s">
        <v>11</v>
      </c>
      <c r="I815">
        <v>2024</v>
      </c>
      <c r="J815">
        <v>12</v>
      </c>
    </row>
    <row r="816" spans="1:10" x14ac:dyDescent="0.3">
      <c r="A816">
        <v>520</v>
      </c>
      <c r="B816">
        <v>30</v>
      </c>
      <c r="C816">
        <v>1</v>
      </c>
      <c r="D816">
        <v>91</v>
      </c>
      <c r="E816">
        <v>91</v>
      </c>
      <c r="F816">
        <v>70</v>
      </c>
      <c r="G816" s="1">
        <v>45648</v>
      </c>
      <c r="H816" t="s">
        <v>11</v>
      </c>
      <c r="I816">
        <v>2024</v>
      </c>
      <c r="J816">
        <v>12</v>
      </c>
    </row>
    <row r="817" spans="1:10" x14ac:dyDescent="0.3">
      <c r="A817">
        <v>520</v>
      </c>
      <c r="B817">
        <v>13</v>
      </c>
      <c r="C817">
        <v>5</v>
      </c>
      <c r="D817">
        <v>94</v>
      </c>
      <c r="E817">
        <v>470</v>
      </c>
      <c r="F817">
        <v>70</v>
      </c>
      <c r="G817" s="1">
        <v>45648</v>
      </c>
      <c r="H817" t="s">
        <v>11</v>
      </c>
      <c r="I817">
        <v>2024</v>
      </c>
      <c r="J817">
        <v>12</v>
      </c>
    </row>
    <row r="818" spans="1:10" x14ac:dyDescent="0.3">
      <c r="A818">
        <v>493</v>
      </c>
      <c r="B818">
        <v>35</v>
      </c>
      <c r="C818">
        <v>3</v>
      </c>
      <c r="D818">
        <v>90</v>
      </c>
      <c r="E818">
        <v>270</v>
      </c>
      <c r="F818">
        <v>163</v>
      </c>
      <c r="G818" s="1">
        <v>45320</v>
      </c>
      <c r="H818" t="s">
        <v>11</v>
      </c>
      <c r="I818">
        <v>2024</v>
      </c>
      <c r="J818">
        <v>1</v>
      </c>
    </row>
    <row r="819" spans="1:10" x14ac:dyDescent="0.3">
      <c r="A819">
        <v>493</v>
      </c>
      <c r="B819">
        <v>17</v>
      </c>
      <c r="C819">
        <v>5</v>
      </c>
      <c r="D819">
        <v>23</v>
      </c>
      <c r="E819">
        <v>115</v>
      </c>
      <c r="F819">
        <v>163</v>
      </c>
      <c r="G819" s="1">
        <v>45320</v>
      </c>
      <c r="H819" t="s">
        <v>11</v>
      </c>
      <c r="I819">
        <v>2024</v>
      </c>
      <c r="J819">
        <v>1</v>
      </c>
    </row>
    <row r="820" spans="1:10" x14ac:dyDescent="0.3">
      <c r="A820">
        <v>161</v>
      </c>
      <c r="B820">
        <v>13</v>
      </c>
      <c r="C820">
        <v>5</v>
      </c>
      <c r="D820">
        <v>80</v>
      </c>
      <c r="E820">
        <v>400</v>
      </c>
      <c r="F820">
        <v>52</v>
      </c>
      <c r="G820" s="1">
        <v>45586</v>
      </c>
      <c r="H820" t="s">
        <v>11</v>
      </c>
      <c r="I820">
        <v>2024</v>
      </c>
      <c r="J820">
        <v>10</v>
      </c>
    </row>
    <row r="821" spans="1:10" x14ac:dyDescent="0.3">
      <c r="A821">
        <v>161</v>
      </c>
      <c r="B821">
        <v>35</v>
      </c>
      <c r="C821">
        <v>1</v>
      </c>
      <c r="D821">
        <v>95</v>
      </c>
      <c r="E821">
        <v>95</v>
      </c>
      <c r="F821">
        <v>52</v>
      </c>
      <c r="G821" s="1">
        <v>45586</v>
      </c>
      <c r="H821" t="s">
        <v>11</v>
      </c>
      <c r="I821">
        <v>2024</v>
      </c>
      <c r="J821">
        <v>10</v>
      </c>
    </row>
    <row r="822" spans="1:10" x14ac:dyDescent="0.3">
      <c r="A822">
        <v>161</v>
      </c>
      <c r="B822">
        <v>16</v>
      </c>
      <c r="C822">
        <v>3</v>
      </c>
      <c r="D822">
        <v>90</v>
      </c>
      <c r="E822">
        <v>270</v>
      </c>
      <c r="F822">
        <v>52</v>
      </c>
      <c r="G822" s="1">
        <v>45586</v>
      </c>
      <c r="H822" t="s">
        <v>11</v>
      </c>
      <c r="I822">
        <v>2024</v>
      </c>
      <c r="J822">
        <v>10</v>
      </c>
    </row>
    <row r="823" spans="1:10" x14ac:dyDescent="0.3">
      <c r="A823">
        <v>752</v>
      </c>
      <c r="B823">
        <v>14</v>
      </c>
      <c r="C823">
        <v>3</v>
      </c>
      <c r="D823">
        <v>100</v>
      </c>
      <c r="E823">
        <v>300</v>
      </c>
      <c r="F823">
        <v>231</v>
      </c>
      <c r="G823" s="1">
        <v>45409</v>
      </c>
      <c r="H823" t="s">
        <v>11</v>
      </c>
      <c r="I823">
        <v>2024</v>
      </c>
      <c r="J823">
        <v>4</v>
      </c>
    </row>
    <row r="824" spans="1:10" x14ac:dyDescent="0.3">
      <c r="A824">
        <v>333</v>
      </c>
      <c r="B824">
        <v>48</v>
      </c>
      <c r="C824">
        <v>1</v>
      </c>
      <c r="D824">
        <v>31</v>
      </c>
      <c r="E824">
        <v>31</v>
      </c>
      <c r="F824">
        <v>271</v>
      </c>
      <c r="G824" s="1">
        <v>45517</v>
      </c>
      <c r="H824" t="s">
        <v>11</v>
      </c>
      <c r="I824">
        <v>2024</v>
      </c>
      <c r="J824">
        <v>8</v>
      </c>
    </row>
    <row r="825" spans="1:10" x14ac:dyDescent="0.3">
      <c r="A825">
        <v>333</v>
      </c>
      <c r="B825">
        <v>2</v>
      </c>
      <c r="C825">
        <v>2</v>
      </c>
      <c r="D825">
        <v>42</v>
      </c>
      <c r="E825">
        <v>84</v>
      </c>
      <c r="F825">
        <v>271</v>
      </c>
      <c r="G825" s="1">
        <v>45517</v>
      </c>
      <c r="H825" t="s">
        <v>11</v>
      </c>
      <c r="I825">
        <v>2024</v>
      </c>
      <c r="J825">
        <v>8</v>
      </c>
    </row>
    <row r="826" spans="1:10" x14ac:dyDescent="0.3">
      <c r="A826">
        <v>50</v>
      </c>
      <c r="B826">
        <v>15</v>
      </c>
      <c r="C826">
        <v>2</v>
      </c>
      <c r="D826">
        <v>43</v>
      </c>
      <c r="E826">
        <v>86</v>
      </c>
      <c r="F826">
        <v>54</v>
      </c>
      <c r="G826" s="1">
        <v>45593</v>
      </c>
      <c r="H826" t="s">
        <v>11</v>
      </c>
      <c r="I826">
        <v>2024</v>
      </c>
      <c r="J826">
        <v>10</v>
      </c>
    </row>
    <row r="827" spans="1:10" x14ac:dyDescent="0.3">
      <c r="A827">
        <v>50</v>
      </c>
      <c r="B827">
        <v>25</v>
      </c>
      <c r="C827">
        <v>3</v>
      </c>
      <c r="D827">
        <v>115</v>
      </c>
      <c r="E827">
        <v>345</v>
      </c>
      <c r="F827">
        <v>54</v>
      </c>
      <c r="G827" s="1">
        <v>45593</v>
      </c>
      <c r="H827" t="s">
        <v>11</v>
      </c>
      <c r="I827">
        <v>2024</v>
      </c>
      <c r="J827">
        <v>10</v>
      </c>
    </row>
    <row r="828" spans="1:10" x14ac:dyDescent="0.3">
      <c r="A828">
        <v>50</v>
      </c>
      <c r="B828">
        <v>50</v>
      </c>
      <c r="C828">
        <v>1</v>
      </c>
      <c r="D828">
        <v>51</v>
      </c>
      <c r="E828">
        <v>51</v>
      </c>
      <c r="F828">
        <v>54</v>
      </c>
      <c r="G828" s="1">
        <v>45593</v>
      </c>
      <c r="H828" t="s">
        <v>11</v>
      </c>
      <c r="I828">
        <v>2024</v>
      </c>
      <c r="J828">
        <v>10</v>
      </c>
    </row>
    <row r="829" spans="1:10" x14ac:dyDescent="0.3">
      <c r="A829">
        <v>582</v>
      </c>
      <c r="B829">
        <v>28</v>
      </c>
      <c r="C829">
        <v>5</v>
      </c>
      <c r="D829">
        <v>93</v>
      </c>
      <c r="E829">
        <v>465</v>
      </c>
      <c r="F829">
        <v>201</v>
      </c>
      <c r="G829" s="1">
        <v>45580</v>
      </c>
      <c r="H829" t="s">
        <v>11</v>
      </c>
      <c r="I829">
        <v>2024</v>
      </c>
      <c r="J829">
        <v>10</v>
      </c>
    </row>
    <row r="830" spans="1:10" x14ac:dyDescent="0.3">
      <c r="A830">
        <v>582</v>
      </c>
      <c r="B830">
        <v>34</v>
      </c>
      <c r="C830">
        <v>1</v>
      </c>
      <c r="D830">
        <v>17</v>
      </c>
      <c r="E830">
        <v>17</v>
      </c>
      <c r="F830">
        <v>201</v>
      </c>
      <c r="G830" s="1">
        <v>45580</v>
      </c>
      <c r="H830" t="s">
        <v>11</v>
      </c>
      <c r="I830">
        <v>2024</v>
      </c>
      <c r="J830">
        <v>10</v>
      </c>
    </row>
    <row r="831" spans="1:10" x14ac:dyDescent="0.3">
      <c r="A831">
        <v>681</v>
      </c>
      <c r="B831">
        <v>16</v>
      </c>
      <c r="C831">
        <v>2</v>
      </c>
      <c r="D831">
        <v>62</v>
      </c>
      <c r="E831">
        <v>124</v>
      </c>
      <c r="F831">
        <v>151</v>
      </c>
      <c r="G831" s="1">
        <v>45644</v>
      </c>
      <c r="H831" t="s">
        <v>11</v>
      </c>
      <c r="I831">
        <v>2024</v>
      </c>
      <c r="J831">
        <v>12</v>
      </c>
    </row>
    <row r="832" spans="1:10" x14ac:dyDescent="0.3">
      <c r="A832">
        <v>681</v>
      </c>
      <c r="B832">
        <v>6</v>
      </c>
      <c r="C832">
        <v>2</v>
      </c>
      <c r="D832">
        <v>28</v>
      </c>
      <c r="E832">
        <v>56</v>
      </c>
      <c r="F832">
        <v>151</v>
      </c>
      <c r="G832" s="1">
        <v>45644</v>
      </c>
      <c r="H832" t="s">
        <v>11</v>
      </c>
      <c r="I832">
        <v>2024</v>
      </c>
      <c r="J832">
        <v>12</v>
      </c>
    </row>
    <row r="833" spans="1:10" x14ac:dyDescent="0.3">
      <c r="A833">
        <v>681</v>
      </c>
      <c r="B833">
        <v>43</v>
      </c>
      <c r="C833">
        <v>4</v>
      </c>
      <c r="D833">
        <v>72</v>
      </c>
      <c r="E833">
        <v>288</v>
      </c>
      <c r="F833">
        <v>151</v>
      </c>
      <c r="G833" s="1">
        <v>45644</v>
      </c>
      <c r="H833" t="s">
        <v>11</v>
      </c>
      <c r="I833">
        <v>2024</v>
      </c>
      <c r="J833">
        <v>12</v>
      </c>
    </row>
    <row r="834" spans="1:10" x14ac:dyDescent="0.3">
      <c r="A834">
        <v>681</v>
      </c>
      <c r="B834">
        <v>20</v>
      </c>
      <c r="C834">
        <v>1</v>
      </c>
      <c r="D834">
        <v>114</v>
      </c>
      <c r="E834">
        <v>114</v>
      </c>
      <c r="F834">
        <v>151</v>
      </c>
      <c r="G834" s="1">
        <v>45644</v>
      </c>
      <c r="H834" t="s">
        <v>11</v>
      </c>
      <c r="I834">
        <v>2024</v>
      </c>
      <c r="J834">
        <v>12</v>
      </c>
    </row>
    <row r="835" spans="1:10" x14ac:dyDescent="0.3">
      <c r="A835">
        <v>272</v>
      </c>
      <c r="B835">
        <v>4</v>
      </c>
      <c r="C835">
        <v>4</v>
      </c>
      <c r="D835">
        <v>92</v>
      </c>
      <c r="E835">
        <v>368</v>
      </c>
      <c r="F835">
        <v>17</v>
      </c>
      <c r="G835" s="1">
        <v>45461</v>
      </c>
      <c r="H835" t="s">
        <v>11</v>
      </c>
      <c r="I835">
        <v>2024</v>
      </c>
      <c r="J835">
        <v>6</v>
      </c>
    </row>
    <row r="836" spans="1:10" x14ac:dyDescent="0.3">
      <c r="A836">
        <v>272</v>
      </c>
      <c r="B836">
        <v>31</v>
      </c>
      <c r="C836">
        <v>3</v>
      </c>
      <c r="D836">
        <v>44</v>
      </c>
      <c r="E836">
        <v>132</v>
      </c>
      <c r="F836">
        <v>17</v>
      </c>
      <c r="G836" s="1">
        <v>45461</v>
      </c>
      <c r="H836" t="s">
        <v>11</v>
      </c>
      <c r="I836">
        <v>2024</v>
      </c>
      <c r="J836">
        <v>6</v>
      </c>
    </row>
    <row r="837" spans="1:10" x14ac:dyDescent="0.3">
      <c r="A837">
        <v>560</v>
      </c>
      <c r="B837">
        <v>32</v>
      </c>
      <c r="C837">
        <v>5</v>
      </c>
      <c r="D837">
        <v>77</v>
      </c>
      <c r="E837">
        <v>385</v>
      </c>
      <c r="F837">
        <v>143</v>
      </c>
      <c r="G837" s="1">
        <v>45519</v>
      </c>
      <c r="H837" t="s">
        <v>11</v>
      </c>
      <c r="I837">
        <v>2024</v>
      </c>
      <c r="J837">
        <v>8</v>
      </c>
    </row>
    <row r="838" spans="1:10" x14ac:dyDescent="0.3">
      <c r="A838">
        <v>560</v>
      </c>
      <c r="B838">
        <v>40</v>
      </c>
      <c r="C838">
        <v>4</v>
      </c>
      <c r="D838">
        <v>74</v>
      </c>
      <c r="E838">
        <v>296</v>
      </c>
      <c r="F838">
        <v>143</v>
      </c>
      <c r="G838" s="1">
        <v>45519</v>
      </c>
      <c r="H838" t="s">
        <v>11</v>
      </c>
      <c r="I838">
        <v>2024</v>
      </c>
      <c r="J838">
        <v>8</v>
      </c>
    </row>
    <row r="839" spans="1:10" x14ac:dyDescent="0.3">
      <c r="A839">
        <v>560</v>
      </c>
      <c r="B839">
        <v>40</v>
      </c>
      <c r="C839">
        <v>3</v>
      </c>
      <c r="D839">
        <v>53</v>
      </c>
      <c r="E839">
        <v>159</v>
      </c>
      <c r="F839">
        <v>143</v>
      </c>
      <c r="G839" s="1">
        <v>45519</v>
      </c>
      <c r="H839" t="s">
        <v>11</v>
      </c>
      <c r="I839">
        <v>2024</v>
      </c>
      <c r="J839">
        <v>8</v>
      </c>
    </row>
    <row r="840" spans="1:10" x14ac:dyDescent="0.3">
      <c r="A840">
        <v>560</v>
      </c>
      <c r="B840">
        <v>4</v>
      </c>
      <c r="C840">
        <v>5</v>
      </c>
      <c r="D840">
        <v>72</v>
      </c>
      <c r="E840">
        <v>360</v>
      </c>
      <c r="F840">
        <v>143</v>
      </c>
      <c r="G840" s="1">
        <v>45519</v>
      </c>
      <c r="H840" t="s">
        <v>11</v>
      </c>
      <c r="I840">
        <v>2024</v>
      </c>
      <c r="J840">
        <v>8</v>
      </c>
    </row>
    <row r="841" spans="1:10" x14ac:dyDescent="0.3">
      <c r="A841">
        <v>560</v>
      </c>
      <c r="B841">
        <v>28</v>
      </c>
      <c r="C841">
        <v>3</v>
      </c>
      <c r="D841">
        <v>55</v>
      </c>
      <c r="E841">
        <v>165</v>
      </c>
      <c r="F841">
        <v>143</v>
      </c>
      <c r="G841" s="1">
        <v>45519</v>
      </c>
      <c r="H841" t="s">
        <v>11</v>
      </c>
      <c r="I841">
        <v>2024</v>
      </c>
      <c r="J841">
        <v>8</v>
      </c>
    </row>
    <row r="842" spans="1:10" x14ac:dyDescent="0.3">
      <c r="A842">
        <v>560</v>
      </c>
      <c r="B842">
        <v>49</v>
      </c>
      <c r="C842">
        <v>4</v>
      </c>
      <c r="D842">
        <v>73</v>
      </c>
      <c r="E842">
        <v>292</v>
      </c>
      <c r="F842">
        <v>143</v>
      </c>
      <c r="G842" s="1">
        <v>45519</v>
      </c>
      <c r="H842" t="s">
        <v>11</v>
      </c>
      <c r="I842">
        <v>2024</v>
      </c>
      <c r="J842">
        <v>8</v>
      </c>
    </row>
    <row r="843" spans="1:10" x14ac:dyDescent="0.3">
      <c r="A843">
        <v>696</v>
      </c>
      <c r="B843">
        <v>45</v>
      </c>
      <c r="C843">
        <v>2</v>
      </c>
      <c r="D843">
        <v>18</v>
      </c>
      <c r="E843">
        <v>36</v>
      </c>
      <c r="F843">
        <v>5</v>
      </c>
      <c r="G843" s="1">
        <v>45387</v>
      </c>
      <c r="H843" t="s">
        <v>11</v>
      </c>
      <c r="I843">
        <v>2024</v>
      </c>
      <c r="J843">
        <v>4</v>
      </c>
    </row>
    <row r="844" spans="1:10" x14ac:dyDescent="0.3">
      <c r="A844">
        <v>332</v>
      </c>
      <c r="B844">
        <v>24</v>
      </c>
      <c r="C844">
        <v>3</v>
      </c>
      <c r="D844">
        <v>115</v>
      </c>
      <c r="E844">
        <v>345</v>
      </c>
      <c r="F844">
        <v>170</v>
      </c>
      <c r="G844" s="1">
        <v>45398</v>
      </c>
      <c r="H844" t="s">
        <v>11</v>
      </c>
      <c r="I844">
        <v>2024</v>
      </c>
      <c r="J844">
        <v>4</v>
      </c>
    </row>
    <row r="845" spans="1:10" x14ac:dyDescent="0.3">
      <c r="A845">
        <v>139</v>
      </c>
      <c r="B845">
        <v>15</v>
      </c>
      <c r="C845">
        <v>3</v>
      </c>
      <c r="D845">
        <v>52</v>
      </c>
      <c r="E845">
        <v>156</v>
      </c>
      <c r="F845">
        <v>286</v>
      </c>
      <c r="G845" s="1">
        <v>45600</v>
      </c>
      <c r="H845" t="s">
        <v>11</v>
      </c>
      <c r="I845">
        <v>2024</v>
      </c>
      <c r="J845">
        <v>11</v>
      </c>
    </row>
    <row r="846" spans="1:10" x14ac:dyDescent="0.3">
      <c r="A846">
        <v>139</v>
      </c>
      <c r="B846">
        <v>38</v>
      </c>
      <c r="C846">
        <v>1</v>
      </c>
      <c r="D846">
        <v>25</v>
      </c>
      <c r="E846">
        <v>25</v>
      </c>
      <c r="F846">
        <v>286</v>
      </c>
      <c r="G846" s="1">
        <v>45600</v>
      </c>
      <c r="H846" t="s">
        <v>11</v>
      </c>
      <c r="I846">
        <v>2024</v>
      </c>
      <c r="J846">
        <v>11</v>
      </c>
    </row>
    <row r="847" spans="1:10" x14ac:dyDescent="0.3">
      <c r="A847">
        <v>139</v>
      </c>
      <c r="B847">
        <v>9</v>
      </c>
      <c r="C847">
        <v>5</v>
      </c>
      <c r="D847">
        <v>56</v>
      </c>
      <c r="E847">
        <v>280</v>
      </c>
      <c r="F847">
        <v>286</v>
      </c>
      <c r="G847" s="1">
        <v>45600</v>
      </c>
      <c r="H847" t="s">
        <v>11</v>
      </c>
      <c r="I847">
        <v>2024</v>
      </c>
      <c r="J847">
        <v>11</v>
      </c>
    </row>
    <row r="848" spans="1:10" x14ac:dyDescent="0.3">
      <c r="A848">
        <v>357</v>
      </c>
      <c r="B848">
        <v>43</v>
      </c>
      <c r="C848">
        <v>3</v>
      </c>
      <c r="D848">
        <v>48</v>
      </c>
      <c r="E848">
        <v>144</v>
      </c>
      <c r="F848">
        <v>117</v>
      </c>
      <c r="G848" s="1">
        <v>45518</v>
      </c>
      <c r="H848" t="s">
        <v>11</v>
      </c>
      <c r="I848">
        <v>2024</v>
      </c>
      <c r="J848">
        <v>8</v>
      </c>
    </row>
    <row r="849" spans="1:10" x14ac:dyDescent="0.3">
      <c r="A849">
        <v>357</v>
      </c>
      <c r="B849">
        <v>50</v>
      </c>
      <c r="C849">
        <v>1</v>
      </c>
      <c r="D849">
        <v>91</v>
      </c>
      <c r="E849">
        <v>91</v>
      </c>
      <c r="F849">
        <v>117</v>
      </c>
      <c r="G849" s="1">
        <v>45518</v>
      </c>
      <c r="H849" t="s">
        <v>11</v>
      </c>
      <c r="I849">
        <v>2024</v>
      </c>
      <c r="J849">
        <v>8</v>
      </c>
    </row>
    <row r="850" spans="1:10" x14ac:dyDescent="0.3">
      <c r="A850">
        <v>601</v>
      </c>
      <c r="B850">
        <v>31</v>
      </c>
      <c r="C850">
        <v>2</v>
      </c>
      <c r="D850">
        <v>82</v>
      </c>
      <c r="E850">
        <v>164</v>
      </c>
      <c r="F850">
        <v>224</v>
      </c>
      <c r="G850" s="1">
        <v>45293</v>
      </c>
      <c r="H850" t="s">
        <v>11</v>
      </c>
      <c r="I850">
        <v>2024</v>
      </c>
      <c r="J850">
        <v>1</v>
      </c>
    </row>
    <row r="851" spans="1:10" x14ac:dyDescent="0.3">
      <c r="A851">
        <v>601</v>
      </c>
      <c r="B851">
        <v>25</v>
      </c>
      <c r="C851">
        <v>3</v>
      </c>
      <c r="D851">
        <v>45</v>
      </c>
      <c r="E851">
        <v>135</v>
      </c>
      <c r="F851">
        <v>224</v>
      </c>
      <c r="G851" s="1">
        <v>45293</v>
      </c>
      <c r="H851" t="s">
        <v>11</v>
      </c>
      <c r="I851">
        <v>2024</v>
      </c>
      <c r="J851">
        <v>1</v>
      </c>
    </row>
    <row r="852" spans="1:10" x14ac:dyDescent="0.3">
      <c r="A852">
        <v>311</v>
      </c>
      <c r="B852">
        <v>2</v>
      </c>
      <c r="C852">
        <v>1</v>
      </c>
      <c r="D852">
        <v>16</v>
      </c>
      <c r="E852">
        <v>16</v>
      </c>
      <c r="F852">
        <v>247</v>
      </c>
      <c r="G852" s="1">
        <v>45489</v>
      </c>
      <c r="H852" t="s">
        <v>11</v>
      </c>
      <c r="I852">
        <v>2024</v>
      </c>
      <c r="J852">
        <v>7</v>
      </c>
    </row>
    <row r="853" spans="1:10" x14ac:dyDescent="0.3">
      <c r="A853">
        <v>311</v>
      </c>
      <c r="B853">
        <v>8</v>
      </c>
      <c r="C853">
        <v>3</v>
      </c>
      <c r="D853">
        <v>93</v>
      </c>
      <c r="E853">
        <v>279</v>
      </c>
      <c r="F853">
        <v>247</v>
      </c>
      <c r="G853" s="1">
        <v>45489</v>
      </c>
      <c r="H853" t="s">
        <v>11</v>
      </c>
      <c r="I853">
        <v>2024</v>
      </c>
      <c r="J853">
        <v>7</v>
      </c>
    </row>
    <row r="854" spans="1:10" x14ac:dyDescent="0.3">
      <c r="A854">
        <v>870</v>
      </c>
      <c r="B854">
        <v>8</v>
      </c>
      <c r="C854">
        <v>3</v>
      </c>
      <c r="D854">
        <v>89</v>
      </c>
      <c r="E854">
        <v>267</v>
      </c>
      <c r="F854">
        <v>288</v>
      </c>
      <c r="G854" s="1">
        <v>45615</v>
      </c>
      <c r="H854" t="s">
        <v>11</v>
      </c>
      <c r="I854">
        <v>2024</v>
      </c>
      <c r="J854">
        <v>11</v>
      </c>
    </row>
    <row r="855" spans="1:10" x14ac:dyDescent="0.3">
      <c r="A855">
        <v>870</v>
      </c>
      <c r="B855">
        <v>12</v>
      </c>
      <c r="C855">
        <v>4</v>
      </c>
      <c r="D855">
        <v>112</v>
      </c>
      <c r="E855">
        <v>448</v>
      </c>
      <c r="F855">
        <v>288</v>
      </c>
      <c r="G855" s="1">
        <v>45615</v>
      </c>
      <c r="H855" t="s">
        <v>11</v>
      </c>
      <c r="I855">
        <v>2024</v>
      </c>
      <c r="J855">
        <v>11</v>
      </c>
    </row>
    <row r="856" spans="1:10" x14ac:dyDescent="0.3">
      <c r="A856">
        <v>978</v>
      </c>
      <c r="B856">
        <v>44</v>
      </c>
      <c r="C856">
        <v>4</v>
      </c>
      <c r="D856">
        <v>25</v>
      </c>
      <c r="E856">
        <v>100</v>
      </c>
      <c r="F856">
        <v>161</v>
      </c>
      <c r="G856" s="1">
        <v>45505</v>
      </c>
      <c r="H856" t="s">
        <v>11</v>
      </c>
      <c r="I856">
        <v>2024</v>
      </c>
      <c r="J856">
        <v>8</v>
      </c>
    </row>
    <row r="857" spans="1:10" x14ac:dyDescent="0.3">
      <c r="A857">
        <v>883</v>
      </c>
      <c r="B857">
        <v>30</v>
      </c>
      <c r="C857">
        <v>2</v>
      </c>
      <c r="D857">
        <v>46</v>
      </c>
      <c r="E857">
        <v>92</v>
      </c>
      <c r="F857">
        <v>134</v>
      </c>
      <c r="G857" s="1">
        <v>45601</v>
      </c>
      <c r="H857" t="s">
        <v>11</v>
      </c>
      <c r="I857">
        <v>2024</v>
      </c>
      <c r="J857">
        <v>11</v>
      </c>
    </row>
    <row r="858" spans="1:10" x14ac:dyDescent="0.3">
      <c r="A858">
        <v>883</v>
      </c>
      <c r="B858">
        <v>40</v>
      </c>
      <c r="C858">
        <v>3</v>
      </c>
      <c r="D858">
        <v>107</v>
      </c>
      <c r="E858">
        <v>321</v>
      </c>
      <c r="F858">
        <v>134</v>
      </c>
      <c r="G858" s="1">
        <v>45601</v>
      </c>
      <c r="H858" t="s">
        <v>11</v>
      </c>
      <c r="I858">
        <v>2024</v>
      </c>
      <c r="J858">
        <v>11</v>
      </c>
    </row>
    <row r="859" spans="1:10" x14ac:dyDescent="0.3">
      <c r="A859">
        <v>883</v>
      </c>
      <c r="B859">
        <v>16</v>
      </c>
      <c r="C859">
        <v>2</v>
      </c>
      <c r="D859">
        <v>39</v>
      </c>
      <c r="E859">
        <v>78</v>
      </c>
      <c r="F859">
        <v>134</v>
      </c>
      <c r="G859" s="1">
        <v>45601</v>
      </c>
      <c r="H859" t="s">
        <v>11</v>
      </c>
      <c r="I859">
        <v>2024</v>
      </c>
      <c r="J859">
        <v>11</v>
      </c>
    </row>
    <row r="860" spans="1:10" x14ac:dyDescent="0.3">
      <c r="A860">
        <v>797</v>
      </c>
      <c r="B860">
        <v>10</v>
      </c>
      <c r="C860">
        <v>1</v>
      </c>
      <c r="D860">
        <v>90</v>
      </c>
      <c r="E860">
        <v>90</v>
      </c>
      <c r="F860">
        <v>223</v>
      </c>
      <c r="G860" s="1">
        <v>45497</v>
      </c>
      <c r="H860" t="s">
        <v>11</v>
      </c>
      <c r="I860">
        <v>2024</v>
      </c>
      <c r="J860">
        <v>7</v>
      </c>
    </row>
    <row r="861" spans="1:10" x14ac:dyDescent="0.3">
      <c r="A861">
        <v>125</v>
      </c>
      <c r="B861">
        <v>18</v>
      </c>
      <c r="C861">
        <v>2</v>
      </c>
      <c r="D861">
        <v>99</v>
      </c>
      <c r="E861">
        <v>198</v>
      </c>
      <c r="F861">
        <v>160</v>
      </c>
      <c r="G861" s="1">
        <v>45367</v>
      </c>
      <c r="H861" t="s">
        <v>11</v>
      </c>
      <c r="I861">
        <v>2024</v>
      </c>
      <c r="J861">
        <v>3</v>
      </c>
    </row>
    <row r="862" spans="1:10" x14ac:dyDescent="0.3">
      <c r="A862">
        <v>125</v>
      </c>
      <c r="B862">
        <v>36</v>
      </c>
      <c r="C862">
        <v>3</v>
      </c>
      <c r="D862">
        <v>115</v>
      </c>
      <c r="E862">
        <v>345</v>
      </c>
      <c r="F862">
        <v>160</v>
      </c>
      <c r="G862" s="1">
        <v>45367</v>
      </c>
      <c r="H862" t="s">
        <v>11</v>
      </c>
      <c r="I862">
        <v>2024</v>
      </c>
      <c r="J862">
        <v>3</v>
      </c>
    </row>
    <row r="863" spans="1:10" x14ac:dyDescent="0.3">
      <c r="A863">
        <v>811</v>
      </c>
      <c r="B863">
        <v>39</v>
      </c>
      <c r="C863">
        <v>4</v>
      </c>
      <c r="D863">
        <v>70</v>
      </c>
      <c r="E863">
        <v>280</v>
      </c>
      <c r="F863">
        <v>133</v>
      </c>
      <c r="G863" s="1">
        <v>45514</v>
      </c>
      <c r="H863" t="s">
        <v>11</v>
      </c>
      <c r="I863">
        <v>2024</v>
      </c>
      <c r="J863">
        <v>8</v>
      </c>
    </row>
    <row r="864" spans="1:10" x14ac:dyDescent="0.3">
      <c r="A864">
        <v>811</v>
      </c>
      <c r="B864">
        <v>15</v>
      </c>
      <c r="C864">
        <v>3</v>
      </c>
      <c r="D864">
        <v>27</v>
      </c>
      <c r="E864">
        <v>81</v>
      </c>
      <c r="F864">
        <v>133</v>
      </c>
      <c r="G864" s="1">
        <v>45514</v>
      </c>
      <c r="H864" t="s">
        <v>11</v>
      </c>
      <c r="I864">
        <v>2024</v>
      </c>
      <c r="J864">
        <v>8</v>
      </c>
    </row>
    <row r="865" spans="1:10" x14ac:dyDescent="0.3">
      <c r="A865">
        <v>245</v>
      </c>
      <c r="B865">
        <v>34</v>
      </c>
      <c r="C865">
        <v>4</v>
      </c>
      <c r="D865">
        <v>42</v>
      </c>
      <c r="E865">
        <v>168</v>
      </c>
      <c r="F865">
        <v>68</v>
      </c>
      <c r="G865" s="1">
        <v>45506</v>
      </c>
      <c r="H865" t="s">
        <v>11</v>
      </c>
      <c r="I865">
        <v>2024</v>
      </c>
      <c r="J865">
        <v>8</v>
      </c>
    </row>
    <row r="866" spans="1:10" x14ac:dyDescent="0.3">
      <c r="A866">
        <v>245</v>
      </c>
      <c r="B866">
        <v>2</v>
      </c>
      <c r="C866">
        <v>4</v>
      </c>
      <c r="D866">
        <v>117</v>
      </c>
      <c r="E866">
        <v>468</v>
      </c>
      <c r="F866">
        <v>68</v>
      </c>
      <c r="G866" s="1">
        <v>45506</v>
      </c>
      <c r="H866" t="s">
        <v>11</v>
      </c>
      <c r="I866">
        <v>2024</v>
      </c>
      <c r="J866">
        <v>8</v>
      </c>
    </row>
    <row r="867" spans="1:10" x14ac:dyDescent="0.3">
      <c r="A867">
        <v>245</v>
      </c>
      <c r="B867">
        <v>33</v>
      </c>
      <c r="C867">
        <v>4</v>
      </c>
      <c r="D867">
        <v>52</v>
      </c>
      <c r="E867">
        <v>208</v>
      </c>
      <c r="F867">
        <v>68</v>
      </c>
      <c r="G867" s="1">
        <v>45506</v>
      </c>
      <c r="H867" t="s">
        <v>11</v>
      </c>
      <c r="I867">
        <v>2024</v>
      </c>
      <c r="J867">
        <v>8</v>
      </c>
    </row>
    <row r="868" spans="1:10" x14ac:dyDescent="0.3">
      <c r="A868">
        <v>848</v>
      </c>
      <c r="B868">
        <v>43</v>
      </c>
      <c r="C868">
        <v>4</v>
      </c>
      <c r="D868">
        <v>75</v>
      </c>
      <c r="E868">
        <v>300</v>
      </c>
      <c r="F868">
        <v>1</v>
      </c>
      <c r="G868" s="1">
        <v>45292</v>
      </c>
      <c r="H868" t="s">
        <v>11</v>
      </c>
      <c r="I868">
        <v>2024</v>
      </c>
      <c r="J868">
        <v>1</v>
      </c>
    </row>
    <row r="869" spans="1:10" x14ac:dyDescent="0.3">
      <c r="A869">
        <v>848</v>
      </c>
      <c r="B869">
        <v>3</v>
      </c>
      <c r="C869">
        <v>2</v>
      </c>
      <c r="D869">
        <v>79</v>
      </c>
      <c r="E869">
        <v>158</v>
      </c>
      <c r="F869">
        <v>1</v>
      </c>
      <c r="G869" s="1">
        <v>45292</v>
      </c>
      <c r="H869" t="s">
        <v>11</v>
      </c>
      <c r="I869">
        <v>2024</v>
      </c>
      <c r="J869">
        <v>1</v>
      </c>
    </row>
    <row r="870" spans="1:10" x14ac:dyDescent="0.3">
      <c r="A870">
        <v>450</v>
      </c>
      <c r="B870">
        <v>45</v>
      </c>
      <c r="C870">
        <v>3</v>
      </c>
      <c r="D870">
        <v>39</v>
      </c>
      <c r="E870">
        <v>117</v>
      </c>
      <c r="F870">
        <v>96</v>
      </c>
      <c r="G870" s="1">
        <v>45446</v>
      </c>
      <c r="H870" t="s">
        <v>11</v>
      </c>
      <c r="I870">
        <v>2024</v>
      </c>
      <c r="J870">
        <v>6</v>
      </c>
    </row>
    <row r="871" spans="1:10" x14ac:dyDescent="0.3">
      <c r="A871">
        <v>450</v>
      </c>
      <c r="B871">
        <v>25</v>
      </c>
      <c r="C871">
        <v>5</v>
      </c>
      <c r="D871">
        <v>84</v>
      </c>
      <c r="E871">
        <v>420</v>
      </c>
      <c r="F871">
        <v>96</v>
      </c>
      <c r="G871" s="1">
        <v>45446</v>
      </c>
      <c r="H871" t="s">
        <v>11</v>
      </c>
      <c r="I871">
        <v>2024</v>
      </c>
      <c r="J871">
        <v>6</v>
      </c>
    </row>
    <row r="872" spans="1:10" x14ac:dyDescent="0.3">
      <c r="A872">
        <v>450</v>
      </c>
      <c r="B872">
        <v>13</v>
      </c>
      <c r="C872">
        <v>1</v>
      </c>
      <c r="D872">
        <v>98</v>
      </c>
      <c r="E872">
        <v>98</v>
      </c>
      <c r="F872">
        <v>96</v>
      </c>
      <c r="G872" s="1">
        <v>45446</v>
      </c>
      <c r="H872" t="s">
        <v>11</v>
      </c>
      <c r="I872">
        <v>2024</v>
      </c>
      <c r="J872">
        <v>6</v>
      </c>
    </row>
    <row r="873" spans="1:10" x14ac:dyDescent="0.3">
      <c r="A873">
        <v>450</v>
      </c>
      <c r="B873">
        <v>32</v>
      </c>
      <c r="C873">
        <v>4</v>
      </c>
      <c r="D873">
        <v>117</v>
      </c>
      <c r="E873">
        <v>468</v>
      </c>
      <c r="F873">
        <v>96</v>
      </c>
      <c r="G873" s="1">
        <v>45446</v>
      </c>
      <c r="H873" t="s">
        <v>11</v>
      </c>
      <c r="I873">
        <v>2024</v>
      </c>
      <c r="J873">
        <v>6</v>
      </c>
    </row>
    <row r="874" spans="1:10" x14ac:dyDescent="0.3">
      <c r="A874">
        <v>930</v>
      </c>
      <c r="B874">
        <v>23</v>
      </c>
      <c r="C874">
        <v>1</v>
      </c>
      <c r="D874">
        <v>29</v>
      </c>
      <c r="E874">
        <v>29</v>
      </c>
      <c r="F874">
        <v>23</v>
      </c>
      <c r="G874" s="1">
        <v>45583</v>
      </c>
      <c r="H874" t="s">
        <v>11</v>
      </c>
      <c r="I874">
        <v>2024</v>
      </c>
      <c r="J874">
        <v>10</v>
      </c>
    </row>
    <row r="875" spans="1:10" x14ac:dyDescent="0.3">
      <c r="A875">
        <v>930</v>
      </c>
      <c r="B875">
        <v>22</v>
      </c>
      <c r="C875">
        <v>1</v>
      </c>
      <c r="D875">
        <v>33</v>
      </c>
      <c r="E875">
        <v>33</v>
      </c>
      <c r="F875">
        <v>23</v>
      </c>
      <c r="G875" s="1">
        <v>45583</v>
      </c>
      <c r="H875" t="s">
        <v>11</v>
      </c>
      <c r="I875">
        <v>2024</v>
      </c>
      <c r="J875">
        <v>10</v>
      </c>
    </row>
    <row r="876" spans="1:10" x14ac:dyDescent="0.3">
      <c r="A876">
        <v>247</v>
      </c>
      <c r="B876">
        <v>5</v>
      </c>
      <c r="C876">
        <v>2</v>
      </c>
      <c r="D876">
        <v>69</v>
      </c>
      <c r="E876">
        <v>138</v>
      </c>
      <c r="F876">
        <v>277</v>
      </c>
      <c r="G876" s="1">
        <v>45514</v>
      </c>
      <c r="H876" t="s">
        <v>11</v>
      </c>
      <c r="I876">
        <v>2024</v>
      </c>
      <c r="J876">
        <v>8</v>
      </c>
    </row>
    <row r="877" spans="1:10" x14ac:dyDescent="0.3">
      <c r="A877">
        <v>247</v>
      </c>
      <c r="B877">
        <v>19</v>
      </c>
      <c r="C877">
        <v>5</v>
      </c>
      <c r="D877">
        <v>50</v>
      </c>
      <c r="E877">
        <v>250</v>
      </c>
      <c r="F877">
        <v>277</v>
      </c>
      <c r="G877" s="1">
        <v>45514</v>
      </c>
      <c r="H877" t="s">
        <v>11</v>
      </c>
      <c r="I877">
        <v>2024</v>
      </c>
      <c r="J877">
        <v>8</v>
      </c>
    </row>
    <row r="878" spans="1:10" x14ac:dyDescent="0.3">
      <c r="A878">
        <v>247</v>
      </c>
      <c r="B878">
        <v>43</v>
      </c>
      <c r="C878">
        <v>4</v>
      </c>
      <c r="D878">
        <v>81</v>
      </c>
      <c r="E878">
        <v>324</v>
      </c>
      <c r="F878">
        <v>277</v>
      </c>
      <c r="G878" s="1">
        <v>45514</v>
      </c>
      <c r="H878" t="s">
        <v>11</v>
      </c>
      <c r="I878">
        <v>2024</v>
      </c>
      <c r="J878">
        <v>8</v>
      </c>
    </row>
    <row r="879" spans="1:10" x14ac:dyDescent="0.3">
      <c r="A879">
        <v>247</v>
      </c>
      <c r="B879">
        <v>45</v>
      </c>
      <c r="C879">
        <v>5</v>
      </c>
      <c r="D879">
        <v>80</v>
      </c>
      <c r="E879">
        <v>400</v>
      </c>
      <c r="F879">
        <v>277</v>
      </c>
      <c r="G879" s="1">
        <v>45514</v>
      </c>
      <c r="H879" t="s">
        <v>11</v>
      </c>
      <c r="I879">
        <v>2024</v>
      </c>
      <c r="J879">
        <v>8</v>
      </c>
    </row>
    <row r="880" spans="1:10" x14ac:dyDescent="0.3">
      <c r="A880">
        <v>247</v>
      </c>
      <c r="B880">
        <v>23</v>
      </c>
      <c r="C880">
        <v>3</v>
      </c>
      <c r="D880">
        <v>89</v>
      </c>
      <c r="E880">
        <v>267</v>
      </c>
      <c r="F880">
        <v>277</v>
      </c>
      <c r="G880" s="1">
        <v>45514</v>
      </c>
      <c r="H880" t="s">
        <v>11</v>
      </c>
      <c r="I880">
        <v>2024</v>
      </c>
      <c r="J880">
        <v>8</v>
      </c>
    </row>
    <row r="881" spans="1:10" x14ac:dyDescent="0.3">
      <c r="A881">
        <v>478</v>
      </c>
      <c r="B881">
        <v>4</v>
      </c>
      <c r="C881">
        <v>4</v>
      </c>
      <c r="D881">
        <v>13</v>
      </c>
      <c r="E881">
        <v>52</v>
      </c>
      <c r="F881">
        <v>69</v>
      </c>
      <c r="G881" s="1">
        <v>45303</v>
      </c>
      <c r="H881" t="s">
        <v>11</v>
      </c>
      <c r="I881">
        <v>2024</v>
      </c>
      <c r="J881">
        <v>1</v>
      </c>
    </row>
    <row r="882" spans="1:10" x14ac:dyDescent="0.3">
      <c r="A882">
        <v>352</v>
      </c>
      <c r="B882">
        <v>29</v>
      </c>
      <c r="C882">
        <v>5</v>
      </c>
      <c r="D882">
        <v>46</v>
      </c>
      <c r="E882">
        <v>230</v>
      </c>
      <c r="F882">
        <v>120</v>
      </c>
      <c r="G882" s="1">
        <v>45353</v>
      </c>
      <c r="H882" t="s">
        <v>11</v>
      </c>
      <c r="I882">
        <v>2024</v>
      </c>
      <c r="J882">
        <v>3</v>
      </c>
    </row>
    <row r="883" spans="1:10" x14ac:dyDescent="0.3">
      <c r="A883">
        <v>352</v>
      </c>
      <c r="B883">
        <v>35</v>
      </c>
      <c r="C883">
        <v>5</v>
      </c>
      <c r="D883">
        <v>52</v>
      </c>
      <c r="E883">
        <v>260</v>
      </c>
      <c r="F883">
        <v>120</v>
      </c>
      <c r="G883" s="1">
        <v>45353</v>
      </c>
      <c r="H883" t="s">
        <v>11</v>
      </c>
      <c r="I883">
        <v>2024</v>
      </c>
      <c r="J883">
        <v>3</v>
      </c>
    </row>
    <row r="884" spans="1:10" x14ac:dyDescent="0.3">
      <c r="A884">
        <v>996</v>
      </c>
      <c r="B884">
        <v>23</v>
      </c>
      <c r="C884">
        <v>4</v>
      </c>
      <c r="D884">
        <v>13</v>
      </c>
      <c r="E884">
        <v>52</v>
      </c>
      <c r="F884">
        <v>215</v>
      </c>
      <c r="G884" s="1">
        <v>45443</v>
      </c>
      <c r="H884" t="s">
        <v>11</v>
      </c>
      <c r="I884">
        <v>2024</v>
      </c>
      <c r="J884">
        <v>5</v>
      </c>
    </row>
    <row r="885" spans="1:10" x14ac:dyDescent="0.3">
      <c r="A885">
        <v>495</v>
      </c>
      <c r="B885">
        <v>6</v>
      </c>
      <c r="C885">
        <v>4</v>
      </c>
      <c r="D885">
        <v>86</v>
      </c>
      <c r="E885">
        <v>344</v>
      </c>
      <c r="F885">
        <v>221</v>
      </c>
      <c r="G885" s="1">
        <v>45425</v>
      </c>
      <c r="H885" t="s">
        <v>11</v>
      </c>
      <c r="I885">
        <v>2024</v>
      </c>
      <c r="J885">
        <v>5</v>
      </c>
    </row>
    <row r="886" spans="1:10" x14ac:dyDescent="0.3">
      <c r="A886">
        <v>495</v>
      </c>
      <c r="B886">
        <v>20</v>
      </c>
      <c r="C886">
        <v>5</v>
      </c>
      <c r="D886">
        <v>32</v>
      </c>
      <c r="E886">
        <v>160</v>
      </c>
      <c r="F886">
        <v>221</v>
      </c>
      <c r="G886" s="1">
        <v>45425</v>
      </c>
      <c r="H886" t="s">
        <v>11</v>
      </c>
      <c r="I886">
        <v>2024</v>
      </c>
      <c r="J886">
        <v>5</v>
      </c>
    </row>
    <row r="887" spans="1:10" x14ac:dyDescent="0.3">
      <c r="A887">
        <v>495</v>
      </c>
      <c r="B887">
        <v>23</v>
      </c>
      <c r="C887">
        <v>1</v>
      </c>
      <c r="D887">
        <v>11</v>
      </c>
      <c r="E887">
        <v>11</v>
      </c>
      <c r="F887">
        <v>221</v>
      </c>
      <c r="G887" s="1">
        <v>45425</v>
      </c>
      <c r="H887" t="s">
        <v>11</v>
      </c>
      <c r="I887">
        <v>2024</v>
      </c>
      <c r="J887">
        <v>5</v>
      </c>
    </row>
    <row r="888" spans="1:10" x14ac:dyDescent="0.3">
      <c r="A888">
        <v>427</v>
      </c>
      <c r="B888">
        <v>18</v>
      </c>
      <c r="C888">
        <v>4</v>
      </c>
      <c r="D888">
        <v>27</v>
      </c>
      <c r="E888">
        <v>108</v>
      </c>
      <c r="F888">
        <v>95</v>
      </c>
      <c r="G888" s="1">
        <v>45479</v>
      </c>
      <c r="H888" t="s">
        <v>11</v>
      </c>
      <c r="I888">
        <v>2024</v>
      </c>
      <c r="J888">
        <v>7</v>
      </c>
    </row>
    <row r="889" spans="1:10" x14ac:dyDescent="0.3">
      <c r="A889">
        <v>39</v>
      </c>
      <c r="B889">
        <v>15</v>
      </c>
      <c r="C889">
        <v>4</v>
      </c>
      <c r="D889">
        <v>97</v>
      </c>
      <c r="E889">
        <v>388</v>
      </c>
      <c r="F889">
        <v>14</v>
      </c>
      <c r="G889" s="1">
        <v>45358</v>
      </c>
      <c r="H889" t="s">
        <v>11</v>
      </c>
      <c r="I889">
        <v>2024</v>
      </c>
      <c r="J889">
        <v>3</v>
      </c>
    </row>
    <row r="890" spans="1:10" x14ac:dyDescent="0.3">
      <c r="A890">
        <v>39</v>
      </c>
      <c r="B890">
        <v>43</v>
      </c>
      <c r="C890">
        <v>5</v>
      </c>
      <c r="D890">
        <v>115</v>
      </c>
      <c r="E890">
        <v>575</v>
      </c>
      <c r="F890">
        <v>14</v>
      </c>
      <c r="G890" s="1">
        <v>45358</v>
      </c>
      <c r="H890" t="s">
        <v>11</v>
      </c>
      <c r="I890">
        <v>2024</v>
      </c>
      <c r="J890">
        <v>3</v>
      </c>
    </row>
    <row r="891" spans="1:10" x14ac:dyDescent="0.3">
      <c r="A891">
        <v>39</v>
      </c>
      <c r="B891">
        <v>34</v>
      </c>
      <c r="C891">
        <v>5</v>
      </c>
      <c r="D891">
        <v>28</v>
      </c>
      <c r="E891">
        <v>140</v>
      </c>
      <c r="F891">
        <v>14</v>
      </c>
      <c r="G891" s="1">
        <v>45358</v>
      </c>
      <c r="H891" t="s">
        <v>11</v>
      </c>
      <c r="I891">
        <v>2024</v>
      </c>
      <c r="J891">
        <v>3</v>
      </c>
    </row>
    <row r="892" spans="1:10" x14ac:dyDescent="0.3">
      <c r="A892">
        <v>39</v>
      </c>
      <c r="B892">
        <v>46</v>
      </c>
      <c r="C892">
        <v>3</v>
      </c>
      <c r="D892">
        <v>73</v>
      </c>
      <c r="E892">
        <v>219</v>
      </c>
      <c r="F892">
        <v>14</v>
      </c>
      <c r="G892" s="1">
        <v>45358</v>
      </c>
      <c r="H892" t="s">
        <v>11</v>
      </c>
      <c r="I892">
        <v>2024</v>
      </c>
      <c r="J892">
        <v>3</v>
      </c>
    </row>
    <row r="893" spans="1:10" x14ac:dyDescent="0.3">
      <c r="A893">
        <v>593</v>
      </c>
      <c r="B893">
        <v>40</v>
      </c>
      <c r="C893">
        <v>5</v>
      </c>
      <c r="D893">
        <v>75</v>
      </c>
      <c r="E893">
        <v>375</v>
      </c>
      <c r="F893">
        <v>286</v>
      </c>
      <c r="G893" s="1">
        <v>45601</v>
      </c>
      <c r="H893" t="s">
        <v>11</v>
      </c>
      <c r="I893">
        <v>2024</v>
      </c>
      <c r="J893">
        <v>11</v>
      </c>
    </row>
    <row r="894" spans="1:10" x14ac:dyDescent="0.3">
      <c r="A894">
        <v>593</v>
      </c>
      <c r="B894">
        <v>22</v>
      </c>
      <c r="C894">
        <v>3</v>
      </c>
      <c r="D894">
        <v>91</v>
      </c>
      <c r="E894">
        <v>273</v>
      </c>
      <c r="F894">
        <v>286</v>
      </c>
      <c r="G894" s="1">
        <v>45601</v>
      </c>
      <c r="H894" t="s">
        <v>11</v>
      </c>
      <c r="I894">
        <v>2024</v>
      </c>
      <c r="J894">
        <v>11</v>
      </c>
    </row>
    <row r="895" spans="1:10" x14ac:dyDescent="0.3">
      <c r="A895">
        <v>593</v>
      </c>
      <c r="B895">
        <v>5</v>
      </c>
      <c r="C895">
        <v>1</v>
      </c>
      <c r="D895">
        <v>84</v>
      </c>
      <c r="E895">
        <v>84</v>
      </c>
      <c r="F895">
        <v>286</v>
      </c>
      <c r="G895" s="1">
        <v>45601</v>
      </c>
      <c r="H895" t="s">
        <v>11</v>
      </c>
      <c r="I895">
        <v>2024</v>
      </c>
      <c r="J895">
        <v>11</v>
      </c>
    </row>
    <row r="896" spans="1:10" x14ac:dyDescent="0.3">
      <c r="A896">
        <v>187</v>
      </c>
      <c r="B896">
        <v>32</v>
      </c>
      <c r="C896">
        <v>5</v>
      </c>
      <c r="D896">
        <v>57</v>
      </c>
      <c r="E896">
        <v>285</v>
      </c>
      <c r="F896">
        <v>255</v>
      </c>
      <c r="G896" s="1">
        <v>45420</v>
      </c>
      <c r="H896" t="s">
        <v>11</v>
      </c>
      <c r="I896">
        <v>2024</v>
      </c>
      <c r="J896">
        <v>5</v>
      </c>
    </row>
    <row r="897" spans="1:10" x14ac:dyDescent="0.3">
      <c r="A897">
        <v>187</v>
      </c>
      <c r="B897">
        <v>10</v>
      </c>
      <c r="C897">
        <v>1</v>
      </c>
      <c r="D897">
        <v>61</v>
      </c>
      <c r="E897">
        <v>61</v>
      </c>
      <c r="F897">
        <v>255</v>
      </c>
      <c r="G897" s="1">
        <v>45420</v>
      </c>
      <c r="H897" t="s">
        <v>11</v>
      </c>
      <c r="I897">
        <v>2024</v>
      </c>
      <c r="J897">
        <v>5</v>
      </c>
    </row>
    <row r="898" spans="1:10" x14ac:dyDescent="0.3">
      <c r="A898">
        <v>754</v>
      </c>
      <c r="B898">
        <v>10</v>
      </c>
      <c r="C898">
        <v>5</v>
      </c>
      <c r="D898">
        <v>92</v>
      </c>
      <c r="E898">
        <v>460</v>
      </c>
      <c r="F898">
        <v>126</v>
      </c>
      <c r="G898" s="1">
        <v>45371</v>
      </c>
      <c r="H898" t="s">
        <v>11</v>
      </c>
      <c r="I898">
        <v>2024</v>
      </c>
      <c r="J898">
        <v>3</v>
      </c>
    </row>
    <row r="899" spans="1:10" x14ac:dyDescent="0.3">
      <c r="A899">
        <v>754</v>
      </c>
      <c r="B899">
        <v>37</v>
      </c>
      <c r="C899">
        <v>1</v>
      </c>
      <c r="D899">
        <v>68</v>
      </c>
      <c r="E899">
        <v>68</v>
      </c>
      <c r="F899">
        <v>126</v>
      </c>
      <c r="G899" s="1">
        <v>45371</v>
      </c>
      <c r="H899" t="s">
        <v>11</v>
      </c>
      <c r="I899">
        <v>2024</v>
      </c>
      <c r="J899">
        <v>3</v>
      </c>
    </row>
    <row r="900" spans="1:10" x14ac:dyDescent="0.3">
      <c r="A900">
        <v>754</v>
      </c>
      <c r="B900">
        <v>16</v>
      </c>
      <c r="C900">
        <v>3</v>
      </c>
      <c r="D900">
        <v>40</v>
      </c>
      <c r="E900">
        <v>120</v>
      </c>
      <c r="F900">
        <v>126</v>
      </c>
      <c r="G900" s="1">
        <v>45371</v>
      </c>
      <c r="H900" t="s">
        <v>11</v>
      </c>
      <c r="I900">
        <v>2024</v>
      </c>
      <c r="J900">
        <v>3</v>
      </c>
    </row>
    <row r="901" spans="1:10" x14ac:dyDescent="0.3">
      <c r="A901">
        <v>754</v>
      </c>
      <c r="B901">
        <v>22</v>
      </c>
      <c r="C901">
        <v>2</v>
      </c>
      <c r="D901">
        <v>89</v>
      </c>
      <c r="E901">
        <v>178</v>
      </c>
      <c r="F901">
        <v>126</v>
      </c>
      <c r="G901" s="1">
        <v>45371</v>
      </c>
      <c r="H901" t="s">
        <v>11</v>
      </c>
      <c r="I901">
        <v>2024</v>
      </c>
      <c r="J901">
        <v>3</v>
      </c>
    </row>
    <row r="902" spans="1:10" x14ac:dyDescent="0.3">
      <c r="A902">
        <v>854</v>
      </c>
      <c r="B902">
        <v>20</v>
      </c>
      <c r="C902">
        <v>5</v>
      </c>
      <c r="D902">
        <v>82</v>
      </c>
      <c r="E902">
        <v>410</v>
      </c>
      <c r="F902">
        <v>286</v>
      </c>
      <c r="G902" s="1">
        <v>45360</v>
      </c>
      <c r="H902" t="s">
        <v>11</v>
      </c>
      <c r="I902">
        <v>2024</v>
      </c>
      <c r="J902">
        <v>3</v>
      </c>
    </row>
    <row r="903" spans="1:10" x14ac:dyDescent="0.3">
      <c r="A903">
        <v>86</v>
      </c>
      <c r="B903">
        <v>48</v>
      </c>
      <c r="C903">
        <v>5</v>
      </c>
      <c r="D903">
        <v>44</v>
      </c>
      <c r="E903">
        <v>220</v>
      </c>
      <c r="F903">
        <v>41</v>
      </c>
      <c r="G903" s="1">
        <v>45493</v>
      </c>
      <c r="H903" t="s">
        <v>11</v>
      </c>
      <c r="I903">
        <v>2024</v>
      </c>
      <c r="J903">
        <v>7</v>
      </c>
    </row>
    <row r="904" spans="1:10" x14ac:dyDescent="0.3">
      <c r="A904">
        <v>86</v>
      </c>
      <c r="B904">
        <v>10</v>
      </c>
      <c r="C904">
        <v>5</v>
      </c>
      <c r="D904">
        <v>95</v>
      </c>
      <c r="E904">
        <v>475</v>
      </c>
      <c r="F904">
        <v>41</v>
      </c>
      <c r="G904" s="1">
        <v>45493</v>
      </c>
      <c r="H904" t="s">
        <v>11</v>
      </c>
      <c r="I904">
        <v>2024</v>
      </c>
      <c r="J904">
        <v>7</v>
      </c>
    </row>
    <row r="905" spans="1:10" x14ac:dyDescent="0.3">
      <c r="A905">
        <v>613</v>
      </c>
      <c r="B905">
        <v>32</v>
      </c>
      <c r="C905">
        <v>3</v>
      </c>
      <c r="D905">
        <v>18</v>
      </c>
      <c r="E905">
        <v>54</v>
      </c>
      <c r="F905">
        <v>6</v>
      </c>
      <c r="G905" s="1">
        <v>45465</v>
      </c>
      <c r="H905" t="s">
        <v>11</v>
      </c>
      <c r="I905">
        <v>2024</v>
      </c>
      <c r="J905">
        <v>6</v>
      </c>
    </row>
    <row r="906" spans="1:10" x14ac:dyDescent="0.3">
      <c r="A906">
        <v>613</v>
      </c>
      <c r="B906">
        <v>42</v>
      </c>
      <c r="C906">
        <v>2</v>
      </c>
      <c r="D906">
        <v>15</v>
      </c>
      <c r="E906">
        <v>30</v>
      </c>
      <c r="F906">
        <v>6</v>
      </c>
      <c r="G906" s="1">
        <v>45465</v>
      </c>
      <c r="H906" t="s">
        <v>11</v>
      </c>
      <c r="I906">
        <v>2024</v>
      </c>
      <c r="J906">
        <v>6</v>
      </c>
    </row>
    <row r="907" spans="1:10" x14ac:dyDescent="0.3">
      <c r="A907">
        <v>512</v>
      </c>
      <c r="B907">
        <v>4</v>
      </c>
      <c r="C907">
        <v>4</v>
      </c>
      <c r="D907">
        <v>24</v>
      </c>
      <c r="E907">
        <v>96</v>
      </c>
      <c r="F907">
        <v>5</v>
      </c>
      <c r="G907" s="1">
        <v>45313</v>
      </c>
      <c r="H907" t="s">
        <v>11</v>
      </c>
      <c r="I907">
        <v>2024</v>
      </c>
      <c r="J907">
        <v>1</v>
      </c>
    </row>
    <row r="908" spans="1:10" x14ac:dyDescent="0.3">
      <c r="A908">
        <v>512</v>
      </c>
      <c r="B908">
        <v>44</v>
      </c>
      <c r="C908">
        <v>1</v>
      </c>
      <c r="D908">
        <v>42</v>
      </c>
      <c r="E908">
        <v>42</v>
      </c>
      <c r="F908">
        <v>5</v>
      </c>
      <c r="G908" s="1">
        <v>45313</v>
      </c>
      <c r="H908" t="s">
        <v>11</v>
      </c>
      <c r="I908">
        <v>2024</v>
      </c>
      <c r="J908">
        <v>1</v>
      </c>
    </row>
    <row r="909" spans="1:10" x14ac:dyDescent="0.3">
      <c r="A909">
        <v>255</v>
      </c>
      <c r="B909">
        <v>19</v>
      </c>
      <c r="C909">
        <v>5</v>
      </c>
      <c r="D909">
        <v>78</v>
      </c>
      <c r="E909">
        <v>390</v>
      </c>
      <c r="F909">
        <v>158</v>
      </c>
      <c r="G909" s="1">
        <v>45592</v>
      </c>
      <c r="H909" t="s">
        <v>11</v>
      </c>
      <c r="I909">
        <v>2024</v>
      </c>
      <c r="J909">
        <v>10</v>
      </c>
    </row>
    <row r="910" spans="1:10" x14ac:dyDescent="0.3">
      <c r="A910">
        <v>981</v>
      </c>
      <c r="B910">
        <v>32</v>
      </c>
      <c r="C910">
        <v>3</v>
      </c>
      <c r="D910">
        <v>31</v>
      </c>
      <c r="E910">
        <v>93</v>
      </c>
      <c r="F910">
        <v>63</v>
      </c>
      <c r="G910" s="1">
        <v>45300</v>
      </c>
      <c r="H910" t="s">
        <v>11</v>
      </c>
      <c r="I910">
        <v>2024</v>
      </c>
      <c r="J910">
        <v>1</v>
      </c>
    </row>
    <row r="911" spans="1:10" x14ac:dyDescent="0.3">
      <c r="A911">
        <v>981</v>
      </c>
      <c r="B911">
        <v>21</v>
      </c>
      <c r="C911">
        <v>2</v>
      </c>
      <c r="D911">
        <v>34</v>
      </c>
      <c r="E911">
        <v>68</v>
      </c>
      <c r="F911">
        <v>63</v>
      </c>
      <c r="G911" s="1">
        <v>45300</v>
      </c>
      <c r="H911" t="s">
        <v>11</v>
      </c>
      <c r="I911">
        <v>2024</v>
      </c>
      <c r="J911">
        <v>1</v>
      </c>
    </row>
    <row r="912" spans="1:10" x14ac:dyDescent="0.3">
      <c r="A912">
        <v>764</v>
      </c>
      <c r="B912">
        <v>35</v>
      </c>
      <c r="C912">
        <v>5</v>
      </c>
      <c r="D912">
        <v>96</v>
      </c>
      <c r="E912">
        <v>480</v>
      </c>
      <c r="F912">
        <v>109</v>
      </c>
      <c r="G912" s="1">
        <v>45462</v>
      </c>
      <c r="H912" t="s">
        <v>11</v>
      </c>
      <c r="I912">
        <v>2024</v>
      </c>
      <c r="J912">
        <v>6</v>
      </c>
    </row>
    <row r="913" spans="1:10" x14ac:dyDescent="0.3">
      <c r="A913">
        <v>872</v>
      </c>
      <c r="B913">
        <v>22</v>
      </c>
      <c r="C913">
        <v>2</v>
      </c>
      <c r="D913">
        <v>80</v>
      </c>
      <c r="E913">
        <v>160</v>
      </c>
      <c r="F913">
        <v>125</v>
      </c>
      <c r="G913" s="1">
        <v>45393</v>
      </c>
      <c r="H913" t="s">
        <v>11</v>
      </c>
      <c r="I913">
        <v>2024</v>
      </c>
      <c r="J913">
        <v>4</v>
      </c>
    </row>
    <row r="914" spans="1:10" x14ac:dyDescent="0.3">
      <c r="A914">
        <v>872</v>
      </c>
      <c r="B914">
        <v>25</v>
      </c>
      <c r="C914">
        <v>5</v>
      </c>
      <c r="D914">
        <v>22</v>
      </c>
      <c r="E914">
        <v>110</v>
      </c>
      <c r="F914">
        <v>125</v>
      </c>
      <c r="G914" s="1">
        <v>45393</v>
      </c>
      <c r="H914" t="s">
        <v>11</v>
      </c>
      <c r="I914">
        <v>2024</v>
      </c>
      <c r="J914">
        <v>4</v>
      </c>
    </row>
    <row r="915" spans="1:10" x14ac:dyDescent="0.3">
      <c r="A915">
        <v>322</v>
      </c>
      <c r="B915">
        <v>1</v>
      </c>
      <c r="C915">
        <v>2</v>
      </c>
      <c r="D915">
        <v>65</v>
      </c>
      <c r="E915">
        <v>130</v>
      </c>
      <c r="F915">
        <v>215</v>
      </c>
      <c r="G915" s="1">
        <v>45343</v>
      </c>
      <c r="H915" t="s">
        <v>11</v>
      </c>
      <c r="I915">
        <v>2024</v>
      </c>
      <c r="J915">
        <v>2</v>
      </c>
    </row>
    <row r="916" spans="1:10" x14ac:dyDescent="0.3">
      <c r="A916">
        <v>322</v>
      </c>
      <c r="B916">
        <v>5</v>
      </c>
      <c r="C916">
        <v>3</v>
      </c>
      <c r="D916">
        <v>12</v>
      </c>
      <c r="E916">
        <v>36</v>
      </c>
      <c r="F916">
        <v>215</v>
      </c>
      <c r="G916" s="1">
        <v>45343</v>
      </c>
      <c r="H916" t="s">
        <v>11</v>
      </c>
      <c r="I916">
        <v>2024</v>
      </c>
      <c r="J916">
        <v>2</v>
      </c>
    </row>
    <row r="917" spans="1:10" x14ac:dyDescent="0.3">
      <c r="A917">
        <v>603</v>
      </c>
      <c r="B917">
        <v>11</v>
      </c>
      <c r="C917">
        <v>2</v>
      </c>
      <c r="D917">
        <v>100</v>
      </c>
      <c r="E917">
        <v>200</v>
      </c>
      <c r="F917">
        <v>177</v>
      </c>
      <c r="G917" s="1">
        <v>45580</v>
      </c>
      <c r="H917" t="s">
        <v>11</v>
      </c>
      <c r="I917">
        <v>2024</v>
      </c>
      <c r="J917">
        <v>10</v>
      </c>
    </row>
    <row r="918" spans="1:10" x14ac:dyDescent="0.3">
      <c r="A918">
        <v>603</v>
      </c>
      <c r="B918">
        <v>25</v>
      </c>
      <c r="C918">
        <v>1</v>
      </c>
      <c r="D918">
        <v>89</v>
      </c>
      <c r="E918">
        <v>89</v>
      </c>
      <c r="F918">
        <v>177</v>
      </c>
      <c r="G918" s="1">
        <v>45580</v>
      </c>
      <c r="H918" t="s">
        <v>11</v>
      </c>
      <c r="I918">
        <v>2024</v>
      </c>
      <c r="J918">
        <v>10</v>
      </c>
    </row>
    <row r="919" spans="1:10" x14ac:dyDescent="0.3">
      <c r="A919">
        <v>603</v>
      </c>
      <c r="B919">
        <v>18</v>
      </c>
      <c r="C919">
        <v>3</v>
      </c>
      <c r="D919">
        <v>85</v>
      </c>
      <c r="E919">
        <v>255</v>
      </c>
      <c r="F919">
        <v>177</v>
      </c>
      <c r="G919" s="1">
        <v>45580</v>
      </c>
      <c r="H919" t="s">
        <v>11</v>
      </c>
      <c r="I919">
        <v>2024</v>
      </c>
      <c r="J919">
        <v>10</v>
      </c>
    </row>
    <row r="920" spans="1:10" x14ac:dyDescent="0.3">
      <c r="A920">
        <v>790</v>
      </c>
      <c r="B920">
        <v>13</v>
      </c>
      <c r="C920">
        <v>2</v>
      </c>
      <c r="D920">
        <v>114</v>
      </c>
      <c r="E920">
        <v>228</v>
      </c>
      <c r="F920">
        <v>137</v>
      </c>
      <c r="G920" s="1">
        <v>45326</v>
      </c>
      <c r="H920" t="s">
        <v>11</v>
      </c>
      <c r="I920">
        <v>2024</v>
      </c>
      <c r="J920">
        <v>2</v>
      </c>
    </row>
    <row r="921" spans="1:10" x14ac:dyDescent="0.3">
      <c r="A921">
        <v>790</v>
      </c>
      <c r="B921">
        <v>7</v>
      </c>
      <c r="C921">
        <v>4</v>
      </c>
      <c r="D921">
        <v>30</v>
      </c>
      <c r="E921">
        <v>120</v>
      </c>
      <c r="F921">
        <v>137</v>
      </c>
      <c r="G921" s="1">
        <v>45326</v>
      </c>
      <c r="H921" t="s">
        <v>11</v>
      </c>
      <c r="I921">
        <v>2024</v>
      </c>
      <c r="J921">
        <v>2</v>
      </c>
    </row>
    <row r="922" spans="1:10" x14ac:dyDescent="0.3">
      <c r="A922">
        <v>790</v>
      </c>
      <c r="B922">
        <v>14</v>
      </c>
      <c r="C922">
        <v>2</v>
      </c>
      <c r="D922">
        <v>94</v>
      </c>
      <c r="E922">
        <v>188</v>
      </c>
      <c r="F922">
        <v>137</v>
      </c>
      <c r="G922" s="1">
        <v>45326</v>
      </c>
      <c r="H922" t="s">
        <v>11</v>
      </c>
      <c r="I922">
        <v>2024</v>
      </c>
      <c r="J922">
        <v>2</v>
      </c>
    </row>
    <row r="923" spans="1:10" x14ac:dyDescent="0.3">
      <c r="A923">
        <v>790</v>
      </c>
      <c r="B923">
        <v>47</v>
      </c>
      <c r="C923">
        <v>2</v>
      </c>
      <c r="D923">
        <v>64</v>
      </c>
      <c r="E923">
        <v>128</v>
      </c>
      <c r="F923">
        <v>137</v>
      </c>
      <c r="G923" s="1">
        <v>45326</v>
      </c>
      <c r="H923" t="s">
        <v>11</v>
      </c>
      <c r="I923">
        <v>2024</v>
      </c>
      <c r="J923">
        <v>2</v>
      </c>
    </row>
    <row r="924" spans="1:10" x14ac:dyDescent="0.3">
      <c r="A924">
        <v>790</v>
      </c>
      <c r="B924">
        <v>34</v>
      </c>
      <c r="C924">
        <v>2</v>
      </c>
      <c r="D924">
        <v>26</v>
      </c>
      <c r="E924">
        <v>52</v>
      </c>
      <c r="F924">
        <v>137</v>
      </c>
      <c r="G924" s="1">
        <v>45326</v>
      </c>
      <c r="H924" t="s">
        <v>11</v>
      </c>
      <c r="I924">
        <v>2024</v>
      </c>
      <c r="J924">
        <v>2</v>
      </c>
    </row>
    <row r="925" spans="1:10" x14ac:dyDescent="0.3">
      <c r="A925">
        <v>155</v>
      </c>
      <c r="B925">
        <v>3</v>
      </c>
      <c r="C925">
        <v>3</v>
      </c>
      <c r="D925">
        <v>43</v>
      </c>
      <c r="E925">
        <v>129</v>
      </c>
      <c r="F925">
        <v>152</v>
      </c>
      <c r="G925" s="1">
        <v>45558</v>
      </c>
      <c r="H925" t="s">
        <v>11</v>
      </c>
      <c r="I925">
        <v>2024</v>
      </c>
      <c r="J925">
        <v>9</v>
      </c>
    </row>
    <row r="926" spans="1:10" x14ac:dyDescent="0.3">
      <c r="A926">
        <v>155</v>
      </c>
      <c r="B926">
        <v>43</v>
      </c>
      <c r="C926">
        <v>2</v>
      </c>
      <c r="D926">
        <v>114</v>
      </c>
      <c r="E926">
        <v>228</v>
      </c>
      <c r="F926">
        <v>152</v>
      </c>
      <c r="G926" s="1">
        <v>45558</v>
      </c>
      <c r="H926" t="s">
        <v>11</v>
      </c>
      <c r="I926">
        <v>2024</v>
      </c>
      <c r="J926">
        <v>9</v>
      </c>
    </row>
    <row r="927" spans="1:10" x14ac:dyDescent="0.3">
      <c r="A927">
        <v>155</v>
      </c>
      <c r="B927">
        <v>9</v>
      </c>
      <c r="C927">
        <v>5</v>
      </c>
      <c r="D927">
        <v>42</v>
      </c>
      <c r="E927">
        <v>210</v>
      </c>
      <c r="F927">
        <v>152</v>
      </c>
      <c r="G927" s="1">
        <v>45558</v>
      </c>
      <c r="H927" t="s">
        <v>11</v>
      </c>
      <c r="I927">
        <v>2024</v>
      </c>
      <c r="J927">
        <v>9</v>
      </c>
    </row>
    <row r="928" spans="1:10" x14ac:dyDescent="0.3">
      <c r="A928">
        <v>349</v>
      </c>
      <c r="B928">
        <v>12</v>
      </c>
      <c r="C928">
        <v>3</v>
      </c>
      <c r="D928">
        <v>18</v>
      </c>
      <c r="E928">
        <v>54</v>
      </c>
      <c r="F928">
        <v>158</v>
      </c>
      <c r="G928" s="1">
        <v>45352</v>
      </c>
      <c r="H928" t="s">
        <v>11</v>
      </c>
      <c r="I928">
        <v>2024</v>
      </c>
      <c r="J928">
        <v>3</v>
      </c>
    </row>
    <row r="929" spans="1:10" x14ac:dyDescent="0.3">
      <c r="A929">
        <v>546</v>
      </c>
      <c r="B929">
        <v>5</v>
      </c>
      <c r="C929">
        <v>1</v>
      </c>
      <c r="D929">
        <v>102</v>
      </c>
      <c r="E929">
        <v>102</v>
      </c>
      <c r="F929">
        <v>173</v>
      </c>
      <c r="G929" s="1">
        <v>45341</v>
      </c>
      <c r="H929" t="s">
        <v>11</v>
      </c>
      <c r="I929">
        <v>2024</v>
      </c>
      <c r="J929">
        <v>2</v>
      </c>
    </row>
    <row r="930" spans="1:10" x14ac:dyDescent="0.3">
      <c r="A930">
        <v>499</v>
      </c>
      <c r="B930">
        <v>47</v>
      </c>
      <c r="C930">
        <v>4</v>
      </c>
      <c r="D930">
        <v>67</v>
      </c>
      <c r="E930">
        <v>268</v>
      </c>
      <c r="F930">
        <v>76</v>
      </c>
      <c r="G930" s="1">
        <v>45517</v>
      </c>
      <c r="H930" t="s">
        <v>11</v>
      </c>
      <c r="I930">
        <v>2024</v>
      </c>
      <c r="J930">
        <v>8</v>
      </c>
    </row>
    <row r="931" spans="1:10" x14ac:dyDescent="0.3">
      <c r="A931">
        <v>499</v>
      </c>
      <c r="B931">
        <v>4</v>
      </c>
      <c r="C931">
        <v>2</v>
      </c>
      <c r="D931">
        <v>65</v>
      </c>
      <c r="E931">
        <v>130</v>
      </c>
      <c r="F931">
        <v>76</v>
      </c>
      <c r="G931" s="1">
        <v>45517</v>
      </c>
      <c r="H931" t="s">
        <v>11</v>
      </c>
      <c r="I931">
        <v>2024</v>
      </c>
      <c r="J931">
        <v>8</v>
      </c>
    </row>
    <row r="932" spans="1:10" x14ac:dyDescent="0.3">
      <c r="A932">
        <v>499</v>
      </c>
      <c r="B932">
        <v>24</v>
      </c>
      <c r="C932">
        <v>1</v>
      </c>
      <c r="D932">
        <v>118</v>
      </c>
      <c r="E932">
        <v>118</v>
      </c>
      <c r="F932">
        <v>76</v>
      </c>
      <c r="G932" s="1">
        <v>45517</v>
      </c>
      <c r="H932" t="s">
        <v>11</v>
      </c>
      <c r="I932">
        <v>2024</v>
      </c>
      <c r="J932">
        <v>8</v>
      </c>
    </row>
    <row r="933" spans="1:10" x14ac:dyDescent="0.3">
      <c r="A933">
        <v>499</v>
      </c>
      <c r="B933">
        <v>27</v>
      </c>
      <c r="C933">
        <v>4</v>
      </c>
      <c r="D933">
        <v>99</v>
      </c>
      <c r="E933">
        <v>396</v>
      </c>
      <c r="F933">
        <v>76</v>
      </c>
      <c r="G933" s="1">
        <v>45517</v>
      </c>
      <c r="H933" t="s">
        <v>11</v>
      </c>
      <c r="I933">
        <v>2024</v>
      </c>
      <c r="J933">
        <v>8</v>
      </c>
    </row>
    <row r="934" spans="1:10" x14ac:dyDescent="0.3">
      <c r="A934">
        <v>499</v>
      </c>
      <c r="B934">
        <v>37</v>
      </c>
      <c r="C934">
        <v>3</v>
      </c>
      <c r="D934">
        <v>10</v>
      </c>
      <c r="E934">
        <v>30</v>
      </c>
      <c r="F934">
        <v>76</v>
      </c>
      <c r="G934" s="1">
        <v>45517</v>
      </c>
      <c r="H934" t="s">
        <v>11</v>
      </c>
      <c r="I934">
        <v>2024</v>
      </c>
      <c r="J934">
        <v>8</v>
      </c>
    </row>
    <row r="935" spans="1:10" x14ac:dyDescent="0.3">
      <c r="A935">
        <v>129</v>
      </c>
      <c r="B935">
        <v>23</v>
      </c>
      <c r="C935">
        <v>5</v>
      </c>
      <c r="D935">
        <v>23</v>
      </c>
      <c r="E935">
        <v>115</v>
      </c>
      <c r="F935">
        <v>284</v>
      </c>
      <c r="G935" s="1">
        <v>45633</v>
      </c>
      <c r="H935" t="s">
        <v>11</v>
      </c>
      <c r="I935">
        <v>2024</v>
      </c>
      <c r="J935">
        <v>12</v>
      </c>
    </row>
    <row r="936" spans="1:10" x14ac:dyDescent="0.3">
      <c r="A936">
        <v>129</v>
      </c>
      <c r="B936">
        <v>44</v>
      </c>
      <c r="C936">
        <v>1</v>
      </c>
      <c r="D936">
        <v>115</v>
      </c>
      <c r="E936">
        <v>115</v>
      </c>
      <c r="F936">
        <v>284</v>
      </c>
      <c r="G936" s="1">
        <v>45633</v>
      </c>
      <c r="H936" t="s">
        <v>11</v>
      </c>
      <c r="I936">
        <v>2024</v>
      </c>
      <c r="J936">
        <v>12</v>
      </c>
    </row>
    <row r="937" spans="1:10" x14ac:dyDescent="0.3">
      <c r="A937">
        <v>129</v>
      </c>
      <c r="B937">
        <v>29</v>
      </c>
      <c r="C937">
        <v>2</v>
      </c>
      <c r="D937">
        <v>41</v>
      </c>
      <c r="E937">
        <v>82</v>
      </c>
      <c r="F937">
        <v>284</v>
      </c>
      <c r="G937" s="1">
        <v>45633</v>
      </c>
      <c r="H937" t="s">
        <v>11</v>
      </c>
      <c r="I937">
        <v>2024</v>
      </c>
      <c r="J937">
        <v>12</v>
      </c>
    </row>
    <row r="938" spans="1:10" x14ac:dyDescent="0.3">
      <c r="A938">
        <v>129</v>
      </c>
      <c r="B938">
        <v>19</v>
      </c>
      <c r="C938">
        <v>3</v>
      </c>
      <c r="D938">
        <v>67</v>
      </c>
      <c r="E938">
        <v>201</v>
      </c>
      <c r="F938">
        <v>284</v>
      </c>
      <c r="G938" s="1">
        <v>45633</v>
      </c>
      <c r="H938" t="s">
        <v>11</v>
      </c>
      <c r="I938">
        <v>2024</v>
      </c>
      <c r="J938">
        <v>12</v>
      </c>
    </row>
    <row r="939" spans="1:10" x14ac:dyDescent="0.3">
      <c r="A939">
        <v>672</v>
      </c>
      <c r="B939">
        <v>30</v>
      </c>
      <c r="C939">
        <v>3</v>
      </c>
      <c r="D939">
        <v>45</v>
      </c>
      <c r="E939">
        <v>135</v>
      </c>
      <c r="F939">
        <v>262</v>
      </c>
      <c r="G939" s="1">
        <v>45603</v>
      </c>
      <c r="H939" t="s">
        <v>11</v>
      </c>
      <c r="I939">
        <v>2024</v>
      </c>
      <c r="J939">
        <v>11</v>
      </c>
    </row>
    <row r="940" spans="1:10" x14ac:dyDescent="0.3">
      <c r="A940">
        <v>672</v>
      </c>
      <c r="B940">
        <v>14</v>
      </c>
      <c r="C940">
        <v>3</v>
      </c>
      <c r="D940">
        <v>34</v>
      </c>
      <c r="E940">
        <v>102</v>
      </c>
      <c r="F940">
        <v>262</v>
      </c>
      <c r="G940" s="1">
        <v>45603</v>
      </c>
      <c r="H940" t="s">
        <v>11</v>
      </c>
      <c r="I940">
        <v>2024</v>
      </c>
      <c r="J940">
        <v>11</v>
      </c>
    </row>
    <row r="941" spans="1:10" x14ac:dyDescent="0.3">
      <c r="A941">
        <v>605</v>
      </c>
      <c r="B941">
        <v>28</v>
      </c>
      <c r="C941">
        <v>4</v>
      </c>
      <c r="D941">
        <v>88</v>
      </c>
      <c r="E941">
        <v>352</v>
      </c>
      <c r="F941">
        <v>282</v>
      </c>
      <c r="G941" s="1">
        <v>45368</v>
      </c>
      <c r="H941" t="s">
        <v>11</v>
      </c>
      <c r="I941">
        <v>2024</v>
      </c>
      <c r="J941">
        <v>3</v>
      </c>
    </row>
    <row r="942" spans="1:10" x14ac:dyDescent="0.3">
      <c r="A942">
        <v>605</v>
      </c>
      <c r="B942">
        <v>18</v>
      </c>
      <c r="C942">
        <v>4</v>
      </c>
      <c r="D942">
        <v>33</v>
      </c>
      <c r="E942">
        <v>132</v>
      </c>
      <c r="F942">
        <v>282</v>
      </c>
      <c r="G942" s="1">
        <v>45368</v>
      </c>
      <c r="H942" t="s">
        <v>11</v>
      </c>
      <c r="I942">
        <v>2024</v>
      </c>
      <c r="J942">
        <v>3</v>
      </c>
    </row>
    <row r="943" spans="1:10" x14ac:dyDescent="0.3">
      <c r="A943">
        <v>835</v>
      </c>
      <c r="B943">
        <v>48</v>
      </c>
      <c r="C943">
        <v>5</v>
      </c>
      <c r="D943">
        <v>45</v>
      </c>
      <c r="E943">
        <v>225</v>
      </c>
      <c r="F943">
        <v>130</v>
      </c>
      <c r="G943" s="1">
        <v>45410</v>
      </c>
      <c r="H943" t="s">
        <v>11</v>
      </c>
      <c r="I943">
        <v>2024</v>
      </c>
      <c r="J943">
        <v>4</v>
      </c>
    </row>
    <row r="944" spans="1:10" x14ac:dyDescent="0.3">
      <c r="A944">
        <v>835</v>
      </c>
      <c r="B944">
        <v>45</v>
      </c>
      <c r="C944">
        <v>5</v>
      </c>
      <c r="D944">
        <v>115</v>
      </c>
      <c r="E944">
        <v>575</v>
      </c>
      <c r="F944">
        <v>130</v>
      </c>
      <c r="G944" s="1">
        <v>45410</v>
      </c>
      <c r="H944" t="s">
        <v>11</v>
      </c>
      <c r="I944">
        <v>2024</v>
      </c>
      <c r="J944">
        <v>4</v>
      </c>
    </row>
    <row r="945" spans="1:10" x14ac:dyDescent="0.3">
      <c r="A945">
        <v>835</v>
      </c>
      <c r="B945">
        <v>6</v>
      </c>
      <c r="C945">
        <v>5</v>
      </c>
      <c r="D945">
        <v>60</v>
      </c>
      <c r="E945">
        <v>300</v>
      </c>
      <c r="F945">
        <v>130</v>
      </c>
      <c r="G945" s="1">
        <v>45410</v>
      </c>
      <c r="H945" t="s">
        <v>11</v>
      </c>
      <c r="I945">
        <v>2024</v>
      </c>
      <c r="J945">
        <v>4</v>
      </c>
    </row>
    <row r="946" spans="1:10" x14ac:dyDescent="0.3">
      <c r="A946">
        <v>404</v>
      </c>
      <c r="B946">
        <v>25</v>
      </c>
      <c r="C946">
        <v>5</v>
      </c>
      <c r="D946">
        <v>94</v>
      </c>
      <c r="E946">
        <v>470</v>
      </c>
      <c r="F946">
        <v>250</v>
      </c>
      <c r="G946" s="1">
        <v>45638</v>
      </c>
      <c r="H946" t="s">
        <v>11</v>
      </c>
      <c r="I946">
        <v>2024</v>
      </c>
      <c r="J946">
        <v>12</v>
      </c>
    </row>
    <row r="947" spans="1:10" x14ac:dyDescent="0.3">
      <c r="A947">
        <v>404</v>
      </c>
      <c r="B947">
        <v>11</v>
      </c>
      <c r="C947">
        <v>3</v>
      </c>
      <c r="D947">
        <v>70</v>
      </c>
      <c r="E947">
        <v>210</v>
      </c>
      <c r="F947">
        <v>250</v>
      </c>
      <c r="G947" s="1">
        <v>45638</v>
      </c>
      <c r="H947" t="s">
        <v>11</v>
      </c>
      <c r="I947">
        <v>2024</v>
      </c>
      <c r="J947">
        <v>12</v>
      </c>
    </row>
    <row r="948" spans="1:10" x14ac:dyDescent="0.3">
      <c r="A948">
        <v>404</v>
      </c>
      <c r="B948">
        <v>1</v>
      </c>
      <c r="C948">
        <v>5</v>
      </c>
      <c r="D948">
        <v>66</v>
      </c>
      <c r="E948">
        <v>330</v>
      </c>
      <c r="F948">
        <v>250</v>
      </c>
      <c r="G948" s="1">
        <v>45638</v>
      </c>
      <c r="H948" t="s">
        <v>11</v>
      </c>
      <c r="I948">
        <v>2024</v>
      </c>
      <c r="J948">
        <v>12</v>
      </c>
    </row>
    <row r="949" spans="1:10" x14ac:dyDescent="0.3">
      <c r="A949">
        <v>404</v>
      </c>
      <c r="B949">
        <v>7</v>
      </c>
      <c r="C949">
        <v>5</v>
      </c>
      <c r="D949">
        <v>19</v>
      </c>
      <c r="E949">
        <v>95</v>
      </c>
      <c r="F949">
        <v>250</v>
      </c>
      <c r="G949" s="1">
        <v>45638</v>
      </c>
      <c r="H949" t="s">
        <v>11</v>
      </c>
      <c r="I949">
        <v>2024</v>
      </c>
      <c r="J949">
        <v>12</v>
      </c>
    </row>
    <row r="950" spans="1:10" x14ac:dyDescent="0.3">
      <c r="A950">
        <v>629</v>
      </c>
      <c r="B950">
        <v>10</v>
      </c>
      <c r="C950">
        <v>3</v>
      </c>
      <c r="D950">
        <v>37</v>
      </c>
      <c r="E950">
        <v>111</v>
      </c>
      <c r="F950">
        <v>260</v>
      </c>
      <c r="G950" s="1">
        <v>45619</v>
      </c>
      <c r="H950" t="s">
        <v>11</v>
      </c>
      <c r="I950">
        <v>2024</v>
      </c>
      <c r="J950">
        <v>11</v>
      </c>
    </row>
    <row r="951" spans="1:10" x14ac:dyDescent="0.3">
      <c r="A951">
        <v>629</v>
      </c>
      <c r="B951">
        <v>6</v>
      </c>
      <c r="C951">
        <v>3</v>
      </c>
      <c r="D951">
        <v>88</v>
      </c>
      <c r="E951">
        <v>264</v>
      </c>
      <c r="F951">
        <v>260</v>
      </c>
      <c r="G951" s="1">
        <v>45619</v>
      </c>
      <c r="H951" t="s">
        <v>11</v>
      </c>
      <c r="I951">
        <v>2024</v>
      </c>
      <c r="J951">
        <v>11</v>
      </c>
    </row>
    <row r="952" spans="1:10" x14ac:dyDescent="0.3">
      <c r="A952">
        <v>611</v>
      </c>
      <c r="B952">
        <v>46</v>
      </c>
      <c r="C952">
        <v>2</v>
      </c>
      <c r="D952">
        <v>89</v>
      </c>
      <c r="E952">
        <v>178</v>
      </c>
      <c r="F952">
        <v>105</v>
      </c>
      <c r="G952" s="1">
        <v>45650</v>
      </c>
      <c r="H952" t="s">
        <v>11</v>
      </c>
      <c r="I952">
        <v>2024</v>
      </c>
      <c r="J952">
        <v>12</v>
      </c>
    </row>
    <row r="953" spans="1:10" x14ac:dyDescent="0.3">
      <c r="A953">
        <v>625</v>
      </c>
      <c r="B953">
        <v>30</v>
      </c>
      <c r="C953">
        <v>4</v>
      </c>
      <c r="D953">
        <v>95</v>
      </c>
      <c r="E953">
        <v>380</v>
      </c>
      <c r="F953">
        <v>1</v>
      </c>
      <c r="G953" s="1">
        <v>45514</v>
      </c>
      <c r="H953" t="s">
        <v>11</v>
      </c>
      <c r="I953">
        <v>2024</v>
      </c>
      <c r="J953">
        <v>8</v>
      </c>
    </row>
    <row r="954" spans="1:10" x14ac:dyDescent="0.3">
      <c r="A954">
        <v>359</v>
      </c>
      <c r="B954">
        <v>41</v>
      </c>
      <c r="C954">
        <v>2</v>
      </c>
      <c r="D954">
        <v>85</v>
      </c>
      <c r="E954">
        <v>170</v>
      </c>
      <c r="F954">
        <v>127</v>
      </c>
      <c r="G954" s="1">
        <v>45411</v>
      </c>
      <c r="H954" t="s">
        <v>11</v>
      </c>
      <c r="I954">
        <v>2024</v>
      </c>
      <c r="J954">
        <v>4</v>
      </c>
    </row>
    <row r="955" spans="1:10" x14ac:dyDescent="0.3">
      <c r="A955">
        <v>718</v>
      </c>
      <c r="B955">
        <v>35</v>
      </c>
      <c r="C955">
        <v>2</v>
      </c>
      <c r="D955">
        <v>113</v>
      </c>
      <c r="E955">
        <v>226</v>
      </c>
      <c r="F955">
        <v>61</v>
      </c>
      <c r="G955" s="1">
        <v>45573</v>
      </c>
      <c r="H955" t="s">
        <v>11</v>
      </c>
      <c r="I955">
        <v>2024</v>
      </c>
      <c r="J955">
        <v>10</v>
      </c>
    </row>
    <row r="956" spans="1:10" x14ac:dyDescent="0.3">
      <c r="A956">
        <v>718</v>
      </c>
      <c r="B956">
        <v>40</v>
      </c>
      <c r="C956">
        <v>4</v>
      </c>
      <c r="D956">
        <v>79</v>
      </c>
      <c r="E956">
        <v>316</v>
      </c>
      <c r="F956">
        <v>61</v>
      </c>
      <c r="G956" s="1">
        <v>45573</v>
      </c>
      <c r="H956" t="s">
        <v>11</v>
      </c>
      <c r="I956">
        <v>2024</v>
      </c>
      <c r="J956">
        <v>10</v>
      </c>
    </row>
    <row r="957" spans="1:10" x14ac:dyDescent="0.3">
      <c r="A957">
        <v>685</v>
      </c>
      <c r="B957">
        <v>10</v>
      </c>
      <c r="C957">
        <v>4</v>
      </c>
      <c r="D957">
        <v>110</v>
      </c>
      <c r="E957">
        <v>440</v>
      </c>
      <c r="F957">
        <v>184</v>
      </c>
      <c r="G957" s="1">
        <v>45504</v>
      </c>
      <c r="H957" t="s">
        <v>11</v>
      </c>
      <c r="I957">
        <v>2024</v>
      </c>
      <c r="J957">
        <v>7</v>
      </c>
    </row>
    <row r="958" spans="1:10" x14ac:dyDescent="0.3">
      <c r="A958">
        <v>685</v>
      </c>
      <c r="B958">
        <v>45</v>
      </c>
      <c r="C958">
        <v>4</v>
      </c>
      <c r="D958">
        <v>86</v>
      </c>
      <c r="E958">
        <v>344</v>
      </c>
      <c r="F958">
        <v>184</v>
      </c>
      <c r="G958" s="1">
        <v>45504</v>
      </c>
      <c r="H958" t="s">
        <v>11</v>
      </c>
      <c r="I958">
        <v>2024</v>
      </c>
      <c r="J958">
        <v>7</v>
      </c>
    </row>
    <row r="959" spans="1:10" x14ac:dyDescent="0.3">
      <c r="A959">
        <v>685</v>
      </c>
      <c r="B959">
        <v>19</v>
      </c>
      <c r="C959">
        <v>2</v>
      </c>
      <c r="D959">
        <v>37</v>
      </c>
      <c r="E959">
        <v>74</v>
      </c>
      <c r="F959">
        <v>184</v>
      </c>
      <c r="G959" s="1">
        <v>45504</v>
      </c>
      <c r="H959" t="s">
        <v>11</v>
      </c>
      <c r="I959">
        <v>2024</v>
      </c>
      <c r="J959">
        <v>7</v>
      </c>
    </row>
    <row r="960" spans="1:10" x14ac:dyDescent="0.3">
      <c r="A960">
        <v>91</v>
      </c>
      <c r="B960">
        <v>21</v>
      </c>
      <c r="C960">
        <v>5</v>
      </c>
      <c r="D960">
        <v>48</v>
      </c>
      <c r="E960">
        <v>240</v>
      </c>
      <c r="F960">
        <v>33</v>
      </c>
      <c r="G960" s="1">
        <v>45419</v>
      </c>
      <c r="H960" t="s">
        <v>11</v>
      </c>
      <c r="I960">
        <v>2024</v>
      </c>
      <c r="J960">
        <v>5</v>
      </c>
    </row>
    <row r="961" spans="1:10" x14ac:dyDescent="0.3">
      <c r="A961">
        <v>91</v>
      </c>
      <c r="B961">
        <v>3</v>
      </c>
      <c r="C961">
        <v>5</v>
      </c>
      <c r="D961">
        <v>63</v>
      </c>
      <c r="E961">
        <v>315</v>
      </c>
      <c r="F961">
        <v>33</v>
      </c>
      <c r="G961" s="1">
        <v>45419</v>
      </c>
      <c r="H961" t="s">
        <v>11</v>
      </c>
      <c r="I961">
        <v>2024</v>
      </c>
      <c r="J961">
        <v>5</v>
      </c>
    </row>
    <row r="962" spans="1:10" x14ac:dyDescent="0.3">
      <c r="A962">
        <v>961</v>
      </c>
      <c r="B962">
        <v>7</v>
      </c>
      <c r="C962">
        <v>1</v>
      </c>
      <c r="D962">
        <v>48</v>
      </c>
      <c r="E962">
        <v>48</v>
      </c>
      <c r="F962">
        <v>291</v>
      </c>
      <c r="G962" s="1">
        <v>45330</v>
      </c>
      <c r="H962" t="s">
        <v>11</v>
      </c>
      <c r="I962">
        <v>2024</v>
      </c>
      <c r="J962">
        <v>2</v>
      </c>
    </row>
    <row r="963" spans="1:10" x14ac:dyDescent="0.3">
      <c r="A963">
        <v>114</v>
      </c>
      <c r="B963">
        <v>17</v>
      </c>
      <c r="C963">
        <v>5</v>
      </c>
      <c r="D963">
        <v>30</v>
      </c>
      <c r="E963">
        <v>150</v>
      </c>
      <c r="F963">
        <v>241</v>
      </c>
      <c r="G963" s="1">
        <v>45617</v>
      </c>
      <c r="H963" t="s">
        <v>11</v>
      </c>
      <c r="I963">
        <v>2024</v>
      </c>
      <c r="J963">
        <v>11</v>
      </c>
    </row>
    <row r="964" spans="1:10" x14ac:dyDescent="0.3">
      <c r="A964">
        <v>114</v>
      </c>
      <c r="B964">
        <v>31</v>
      </c>
      <c r="C964">
        <v>3</v>
      </c>
      <c r="D964">
        <v>113</v>
      </c>
      <c r="E964">
        <v>339</v>
      </c>
      <c r="F964">
        <v>241</v>
      </c>
      <c r="G964" s="1">
        <v>45617</v>
      </c>
      <c r="H964" t="s">
        <v>11</v>
      </c>
      <c r="I964">
        <v>2024</v>
      </c>
      <c r="J964">
        <v>11</v>
      </c>
    </row>
    <row r="965" spans="1:10" x14ac:dyDescent="0.3">
      <c r="A965">
        <v>769</v>
      </c>
      <c r="B965">
        <v>2</v>
      </c>
      <c r="C965">
        <v>3</v>
      </c>
      <c r="D965">
        <v>74</v>
      </c>
      <c r="E965">
        <v>222</v>
      </c>
      <c r="F965">
        <v>34</v>
      </c>
      <c r="G965" s="1">
        <v>45412</v>
      </c>
      <c r="H965" t="s">
        <v>11</v>
      </c>
      <c r="I965">
        <v>2024</v>
      </c>
      <c r="J965">
        <v>4</v>
      </c>
    </row>
    <row r="966" spans="1:10" x14ac:dyDescent="0.3">
      <c r="A966">
        <v>769</v>
      </c>
      <c r="B966">
        <v>17</v>
      </c>
      <c r="C966">
        <v>5</v>
      </c>
      <c r="D966">
        <v>76</v>
      </c>
      <c r="E966">
        <v>380</v>
      </c>
      <c r="F966">
        <v>34</v>
      </c>
      <c r="G966" s="1">
        <v>45412</v>
      </c>
      <c r="H966" t="s">
        <v>11</v>
      </c>
      <c r="I966">
        <v>2024</v>
      </c>
      <c r="J966">
        <v>4</v>
      </c>
    </row>
    <row r="967" spans="1:10" x14ac:dyDescent="0.3">
      <c r="A967">
        <v>877</v>
      </c>
      <c r="B967">
        <v>18</v>
      </c>
      <c r="C967">
        <v>5</v>
      </c>
      <c r="D967">
        <v>69</v>
      </c>
      <c r="E967">
        <v>345</v>
      </c>
      <c r="F967">
        <v>145</v>
      </c>
      <c r="G967" s="1">
        <v>45570</v>
      </c>
      <c r="H967" t="s">
        <v>11</v>
      </c>
      <c r="I967">
        <v>2024</v>
      </c>
      <c r="J967">
        <v>10</v>
      </c>
    </row>
    <row r="968" spans="1:10" x14ac:dyDescent="0.3">
      <c r="A968">
        <v>877</v>
      </c>
      <c r="B968">
        <v>47</v>
      </c>
      <c r="C968">
        <v>2</v>
      </c>
      <c r="D968">
        <v>62</v>
      </c>
      <c r="E968">
        <v>124</v>
      </c>
      <c r="F968">
        <v>145</v>
      </c>
      <c r="G968" s="1">
        <v>45570</v>
      </c>
      <c r="H968" t="s">
        <v>11</v>
      </c>
      <c r="I968">
        <v>2024</v>
      </c>
      <c r="J968">
        <v>10</v>
      </c>
    </row>
    <row r="969" spans="1:10" x14ac:dyDescent="0.3">
      <c r="A969">
        <v>628</v>
      </c>
      <c r="B969">
        <v>16</v>
      </c>
      <c r="C969">
        <v>2</v>
      </c>
      <c r="D969">
        <v>29</v>
      </c>
      <c r="E969">
        <v>58</v>
      </c>
      <c r="F969">
        <v>205</v>
      </c>
      <c r="G969" s="1">
        <v>45555</v>
      </c>
      <c r="H969" t="s">
        <v>11</v>
      </c>
      <c r="I969">
        <v>2024</v>
      </c>
      <c r="J969">
        <v>9</v>
      </c>
    </row>
    <row r="970" spans="1:10" x14ac:dyDescent="0.3">
      <c r="A970">
        <v>628</v>
      </c>
      <c r="B970">
        <v>30</v>
      </c>
      <c r="C970">
        <v>5</v>
      </c>
      <c r="D970">
        <v>59</v>
      </c>
      <c r="E970">
        <v>295</v>
      </c>
      <c r="F970">
        <v>205</v>
      </c>
      <c r="G970" s="1">
        <v>45555</v>
      </c>
      <c r="H970" t="s">
        <v>11</v>
      </c>
      <c r="I970">
        <v>2024</v>
      </c>
      <c r="J970">
        <v>9</v>
      </c>
    </row>
    <row r="971" spans="1:10" x14ac:dyDescent="0.3">
      <c r="A971">
        <v>628</v>
      </c>
      <c r="B971">
        <v>36</v>
      </c>
      <c r="C971">
        <v>3</v>
      </c>
      <c r="D971">
        <v>22</v>
      </c>
      <c r="E971">
        <v>66</v>
      </c>
      <c r="F971">
        <v>205</v>
      </c>
      <c r="G971" s="1">
        <v>45555</v>
      </c>
      <c r="H971" t="s">
        <v>11</v>
      </c>
      <c r="I971">
        <v>2024</v>
      </c>
      <c r="J971">
        <v>9</v>
      </c>
    </row>
    <row r="972" spans="1:10" x14ac:dyDescent="0.3">
      <c r="A972">
        <v>628</v>
      </c>
      <c r="B972">
        <v>40</v>
      </c>
      <c r="C972">
        <v>4</v>
      </c>
      <c r="D972">
        <v>13</v>
      </c>
      <c r="E972">
        <v>52</v>
      </c>
      <c r="F972">
        <v>205</v>
      </c>
      <c r="G972" s="1">
        <v>45555</v>
      </c>
      <c r="H972" t="s">
        <v>11</v>
      </c>
      <c r="I972">
        <v>2024</v>
      </c>
      <c r="J972">
        <v>9</v>
      </c>
    </row>
    <row r="973" spans="1:10" x14ac:dyDescent="0.3">
      <c r="A973">
        <v>266</v>
      </c>
      <c r="B973">
        <v>18</v>
      </c>
      <c r="C973">
        <v>3</v>
      </c>
      <c r="D973">
        <v>96</v>
      </c>
      <c r="E973">
        <v>288</v>
      </c>
      <c r="F973">
        <v>284</v>
      </c>
      <c r="G973" s="1">
        <v>45501</v>
      </c>
      <c r="H973" t="s">
        <v>11</v>
      </c>
      <c r="I973">
        <v>2024</v>
      </c>
      <c r="J973">
        <v>7</v>
      </c>
    </row>
    <row r="974" spans="1:10" x14ac:dyDescent="0.3">
      <c r="A974">
        <v>266</v>
      </c>
      <c r="B974">
        <v>37</v>
      </c>
      <c r="C974">
        <v>1</v>
      </c>
      <c r="D974">
        <v>21</v>
      </c>
      <c r="E974">
        <v>21</v>
      </c>
      <c r="F974">
        <v>284</v>
      </c>
      <c r="G974" s="1">
        <v>45501</v>
      </c>
      <c r="H974" t="s">
        <v>11</v>
      </c>
      <c r="I974">
        <v>2024</v>
      </c>
      <c r="J974">
        <v>7</v>
      </c>
    </row>
    <row r="975" spans="1:10" x14ac:dyDescent="0.3">
      <c r="A975">
        <v>266</v>
      </c>
      <c r="B975">
        <v>15</v>
      </c>
      <c r="C975">
        <v>4</v>
      </c>
      <c r="D975">
        <v>93</v>
      </c>
      <c r="E975">
        <v>372</v>
      </c>
      <c r="F975">
        <v>284</v>
      </c>
      <c r="G975" s="1">
        <v>45501</v>
      </c>
      <c r="H975" t="s">
        <v>11</v>
      </c>
      <c r="I975">
        <v>2024</v>
      </c>
      <c r="J975">
        <v>7</v>
      </c>
    </row>
    <row r="976" spans="1:10" x14ac:dyDescent="0.3">
      <c r="A976">
        <v>315</v>
      </c>
      <c r="B976">
        <v>35</v>
      </c>
      <c r="C976">
        <v>1</v>
      </c>
      <c r="D976">
        <v>114</v>
      </c>
      <c r="E976">
        <v>114</v>
      </c>
      <c r="F976">
        <v>173</v>
      </c>
      <c r="G976" s="1">
        <v>45635</v>
      </c>
      <c r="H976" t="s">
        <v>11</v>
      </c>
      <c r="I976">
        <v>2024</v>
      </c>
      <c r="J976">
        <v>12</v>
      </c>
    </row>
    <row r="977" spans="1:10" x14ac:dyDescent="0.3">
      <c r="A977">
        <v>315</v>
      </c>
      <c r="B977">
        <v>14</v>
      </c>
      <c r="C977">
        <v>1</v>
      </c>
      <c r="D977">
        <v>86</v>
      </c>
      <c r="E977">
        <v>86</v>
      </c>
      <c r="F977">
        <v>173</v>
      </c>
      <c r="G977" s="1">
        <v>45635</v>
      </c>
      <c r="H977" t="s">
        <v>11</v>
      </c>
      <c r="I977">
        <v>2024</v>
      </c>
      <c r="J977">
        <v>12</v>
      </c>
    </row>
    <row r="978" spans="1:10" x14ac:dyDescent="0.3">
      <c r="A978">
        <v>315</v>
      </c>
      <c r="B978">
        <v>16</v>
      </c>
      <c r="C978">
        <v>1</v>
      </c>
      <c r="D978">
        <v>103</v>
      </c>
      <c r="E978">
        <v>103</v>
      </c>
      <c r="F978">
        <v>173</v>
      </c>
      <c r="G978" s="1">
        <v>45635</v>
      </c>
      <c r="H978" t="s">
        <v>11</v>
      </c>
      <c r="I978">
        <v>2024</v>
      </c>
      <c r="J978">
        <v>12</v>
      </c>
    </row>
    <row r="979" spans="1:10" x14ac:dyDescent="0.3">
      <c r="A979">
        <v>315</v>
      </c>
      <c r="B979">
        <v>38</v>
      </c>
      <c r="C979">
        <v>5</v>
      </c>
      <c r="D979">
        <v>31</v>
      </c>
      <c r="E979">
        <v>155</v>
      </c>
      <c r="F979">
        <v>173</v>
      </c>
      <c r="G979" s="1">
        <v>45635</v>
      </c>
      <c r="H979" t="s">
        <v>11</v>
      </c>
      <c r="I979">
        <v>2024</v>
      </c>
      <c r="J979">
        <v>12</v>
      </c>
    </row>
    <row r="980" spans="1:10" x14ac:dyDescent="0.3">
      <c r="A980">
        <v>715</v>
      </c>
      <c r="B980">
        <v>26</v>
      </c>
      <c r="C980">
        <v>3</v>
      </c>
      <c r="D980">
        <v>43</v>
      </c>
      <c r="E980">
        <v>129</v>
      </c>
      <c r="F980">
        <v>56</v>
      </c>
      <c r="G980" s="1">
        <v>45312</v>
      </c>
      <c r="H980" t="s">
        <v>11</v>
      </c>
      <c r="I980">
        <v>2024</v>
      </c>
      <c r="J980">
        <v>1</v>
      </c>
    </row>
    <row r="981" spans="1:10" x14ac:dyDescent="0.3">
      <c r="A981">
        <v>715</v>
      </c>
      <c r="B981">
        <v>35</v>
      </c>
      <c r="C981">
        <v>3</v>
      </c>
      <c r="D981">
        <v>50</v>
      </c>
      <c r="E981">
        <v>150</v>
      </c>
      <c r="F981">
        <v>56</v>
      </c>
      <c r="G981" s="1">
        <v>45312</v>
      </c>
      <c r="H981" t="s">
        <v>11</v>
      </c>
      <c r="I981">
        <v>2024</v>
      </c>
      <c r="J981">
        <v>1</v>
      </c>
    </row>
    <row r="982" spans="1:10" x14ac:dyDescent="0.3">
      <c r="A982">
        <v>41</v>
      </c>
      <c r="B982">
        <v>16</v>
      </c>
      <c r="C982">
        <v>1</v>
      </c>
      <c r="D982">
        <v>119</v>
      </c>
      <c r="E982">
        <v>119</v>
      </c>
      <c r="F982">
        <v>265</v>
      </c>
      <c r="G982" s="1">
        <v>45388</v>
      </c>
      <c r="H982" t="s">
        <v>11</v>
      </c>
      <c r="I982">
        <v>2024</v>
      </c>
      <c r="J982">
        <v>4</v>
      </c>
    </row>
    <row r="983" spans="1:10" x14ac:dyDescent="0.3">
      <c r="A983">
        <v>41</v>
      </c>
      <c r="B983">
        <v>1</v>
      </c>
      <c r="C983">
        <v>1</v>
      </c>
      <c r="D983">
        <v>81</v>
      </c>
      <c r="E983">
        <v>81</v>
      </c>
      <c r="F983">
        <v>265</v>
      </c>
      <c r="G983" s="1">
        <v>45388</v>
      </c>
      <c r="H983" t="s">
        <v>11</v>
      </c>
      <c r="I983">
        <v>2024</v>
      </c>
      <c r="J983">
        <v>4</v>
      </c>
    </row>
    <row r="984" spans="1:10" x14ac:dyDescent="0.3">
      <c r="A984">
        <v>105</v>
      </c>
      <c r="B984">
        <v>6</v>
      </c>
      <c r="C984">
        <v>5</v>
      </c>
      <c r="D984">
        <v>57</v>
      </c>
      <c r="E984">
        <v>285</v>
      </c>
      <c r="F984">
        <v>218</v>
      </c>
      <c r="G984" s="1">
        <v>45526</v>
      </c>
      <c r="H984" t="s">
        <v>11</v>
      </c>
      <c r="I984">
        <v>2024</v>
      </c>
      <c r="J984">
        <v>8</v>
      </c>
    </row>
    <row r="985" spans="1:10" x14ac:dyDescent="0.3">
      <c r="A985">
        <v>901</v>
      </c>
      <c r="B985">
        <v>44</v>
      </c>
      <c r="C985">
        <v>5</v>
      </c>
      <c r="D985">
        <v>42</v>
      </c>
      <c r="E985">
        <v>210</v>
      </c>
      <c r="F985">
        <v>123</v>
      </c>
      <c r="G985" s="1">
        <v>45556</v>
      </c>
      <c r="H985" t="s">
        <v>11</v>
      </c>
      <c r="I985">
        <v>2024</v>
      </c>
      <c r="J985">
        <v>9</v>
      </c>
    </row>
    <row r="986" spans="1:10" x14ac:dyDescent="0.3">
      <c r="A986">
        <v>901</v>
      </c>
      <c r="B986">
        <v>31</v>
      </c>
      <c r="C986">
        <v>1</v>
      </c>
      <c r="D986">
        <v>42</v>
      </c>
      <c r="E986">
        <v>42</v>
      </c>
      <c r="F986">
        <v>123</v>
      </c>
      <c r="G986" s="1">
        <v>45556</v>
      </c>
      <c r="H986" t="s">
        <v>11</v>
      </c>
      <c r="I986">
        <v>2024</v>
      </c>
      <c r="J986">
        <v>9</v>
      </c>
    </row>
    <row r="987" spans="1:10" x14ac:dyDescent="0.3">
      <c r="A987">
        <v>901</v>
      </c>
      <c r="B987">
        <v>14</v>
      </c>
      <c r="C987">
        <v>2</v>
      </c>
      <c r="D987">
        <v>57</v>
      </c>
      <c r="E987">
        <v>114</v>
      </c>
      <c r="F987">
        <v>123</v>
      </c>
      <c r="G987" s="1">
        <v>45556</v>
      </c>
      <c r="H987" t="s">
        <v>11</v>
      </c>
      <c r="I987">
        <v>2024</v>
      </c>
      <c r="J987">
        <v>9</v>
      </c>
    </row>
    <row r="988" spans="1:10" x14ac:dyDescent="0.3">
      <c r="A988">
        <v>890</v>
      </c>
      <c r="B988">
        <v>43</v>
      </c>
      <c r="C988">
        <v>4</v>
      </c>
      <c r="D988">
        <v>107</v>
      </c>
      <c r="E988">
        <v>428</v>
      </c>
      <c r="F988">
        <v>289</v>
      </c>
      <c r="G988" s="1">
        <v>45434</v>
      </c>
      <c r="H988" t="s">
        <v>11</v>
      </c>
      <c r="I988">
        <v>2024</v>
      </c>
      <c r="J988">
        <v>5</v>
      </c>
    </row>
    <row r="989" spans="1:10" x14ac:dyDescent="0.3">
      <c r="A989">
        <v>890</v>
      </c>
      <c r="B989">
        <v>13</v>
      </c>
      <c r="C989">
        <v>3</v>
      </c>
      <c r="D989">
        <v>63</v>
      </c>
      <c r="E989">
        <v>189</v>
      </c>
      <c r="F989">
        <v>289</v>
      </c>
      <c r="G989" s="1">
        <v>45434</v>
      </c>
      <c r="H989" t="s">
        <v>11</v>
      </c>
      <c r="I989">
        <v>2024</v>
      </c>
      <c r="J989">
        <v>5</v>
      </c>
    </row>
    <row r="990" spans="1:10" x14ac:dyDescent="0.3">
      <c r="A990">
        <v>890</v>
      </c>
      <c r="B990">
        <v>38</v>
      </c>
      <c r="C990">
        <v>5</v>
      </c>
      <c r="D990">
        <v>116</v>
      </c>
      <c r="E990">
        <v>580</v>
      </c>
      <c r="F990">
        <v>289</v>
      </c>
      <c r="G990" s="1">
        <v>45434</v>
      </c>
      <c r="H990" t="s">
        <v>11</v>
      </c>
      <c r="I990">
        <v>2024</v>
      </c>
      <c r="J990">
        <v>5</v>
      </c>
    </row>
    <row r="991" spans="1:10" x14ac:dyDescent="0.3">
      <c r="A991">
        <v>193</v>
      </c>
      <c r="B991">
        <v>47</v>
      </c>
      <c r="C991">
        <v>4</v>
      </c>
      <c r="D991">
        <v>112</v>
      </c>
      <c r="E991">
        <v>448</v>
      </c>
      <c r="F991">
        <v>144</v>
      </c>
      <c r="G991" s="1">
        <v>45330</v>
      </c>
      <c r="H991" t="s">
        <v>11</v>
      </c>
      <c r="I991">
        <v>2024</v>
      </c>
      <c r="J991">
        <v>2</v>
      </c>
    </row>
    <row r="992" spans="1:10" x14ac:dyDescent="0.3">
      <c r="A992">
        <v>193</v>
      </c>
      <c r="B992">
        <v>14</v>
      </c>
      <c r="C992">
        <v>5</v>
      </c>
      <c r="D992">
        <v>115</v>
      </c>
      <c r="E992">
        <v>575</v>
      </c>
      <c r="F992">
        <v>144</v>
      </c>
      <c r="G992" s="1">
        <v>45330</v>
      </c>
      <c r="H992" t="s">
        <v>11</v>
      </c>
      <c r="I992">
        <v>2024</v>
      </c>
      <c r="J992">
        <v>2</v>
      </c>
    </row>
    <row r="993" spans="1:10" x14ac:dyDescent="0.3">
      <c r="A993">
        <v>193</v>
      </c>
      <c r="B993">
        <v>46</v>
      </c>
      <c r="C993">
        <v>2</v>
      </c>
      <c r="D993">
        <v>73</v>
      </c>
      <c r="E993">
        <v>146</v>
      </c>
      <c r="F993">
        <v>144</v>
      </c>
      <c r="G993" s="1">
        <v>45330</v>
      </c>
      <c r="H993" t="s">
        <v>11</v>
      </c>
      <c r="I993">
        <v>2024</v>
      </c>
      <c r="J993">
        <v>2</v>
      </c>
    </row>
    <row r="994" spans="1:10" x14ac:dyDescent="0.3">
      <c r="A994">
        <v>193</v>
      </c>
      <c r="B994">
        <v>2</v>
      </c>
      <c r="C994">
        <v>1</v>
      </c>
      <c r="D994">
        <v>42</v>
      </c>
      <c r="E994">
        <v>42</v>
      </c>
      <c r="F994">
        <v>144</v>
      </c>
      <c r="G994" s="1">
        <v>45330</v>
      </c>
      <c r="H994" t="s">
        <v>11</v>
      </c>
      <c r="I994">
        <v>2024</v>
      </c>
      <c r="J994">
        <v>2</v>
      </c>
    </row>
    <row r="995" spans="1:10" x14ac:dyDescent="0.3">
      <c r="A995">
        <v>256</v>
      </c>
      <c r="B995">
        <v>26</v>
      </c>
      <c r="C995">
        <v>1</v>
      </c>
      <c r="D995">
        <v>89</v>
      </c>
      <c r="E995">
        <v>89</v>
      </c>
      <c r="F995">
        <v>38</v>
      </c>
      <c r="G995" s="1">
        <v>45389</v>
      </c>
      <c r="H995" t="s">
        <v>11</v>
      </c>
      <c r="I995">
        <v>2024</v>
      </c>
      <c r="J995">
        <v>4</v>
      </c>
    </row>
    <row r="996" spans="1:10" x14ac:dyDescent="0.3">
      <c r="A996">
        <v>256</v>
      </c>
      <c r="B996">
        <v>4</v>
      </c>
      <c r="C996">
        <v>5</v>
      </c>
      <c r="D996">
        <v>80</v>
      </c>
      <c r="E996">
        <v>400</v>
      </c>
      <c r="F996">
        <v>38</v>
      </c>
      <c r="G996" s="1">
        <v>45389</v>
      </c>
      <c r="H996" t="s">
        <v>11</v>
      </c>
      <c r="I996">
        <v>2024</v>
      </c>
      <c r="J996">
        <v>4</v>
      </c>
    </row>
    <row r="997" spans="1:10" x14ac:dyDescent="0.3">
      <c r="A997">
        <v>256</v>
      </c>
      <c r="B997">
        <v>34</v>
      </c>
      <c r="C997">
        <v>2</v>
      </c>
      <c r="D997">
        <v>26</v>
      </c>
      <c r="E997">
        <v>52</v>
      </c>
      <c r="F997">
        <v>38</v>
      </c>
      <c r="G997" s="1">
        <v>45389</v>
      </c>
      <c r="H997" t="s">
        <v>11</v>
      </c>
      <c r="I997">
        <v>2024</v>
      </c>
      <c r="J997">
        <v>4</v>
      </c>
    </row>
    <row r="998" spans="1:10" x14ac:dyDescent="0.3">
      <c r="A998">
        <v>256</v>
      </c>
      <c r="B998">
        <v>6</v>
      </c>
      <c r="C998">
        <v>1</v>
      </c>
      <c r="D998">
        <v>25</v>
      </c>
      <c r="E998">
        <v>25</v>
      </c>
      <c r="F998">
        <v>38</v>
      </c>
      <c r="G998" s="1">
        <v>45389</v>
      </c>
      <c r="H998" t="s">
        <v>11</v>
      </c>
      <c r="I998">
        <v>2024</v>
      </c>
      <c r="J998">
        <v>4</v>
      </c>
    </row>
    <row r="999" spans="1:10" x14ac:dyDescent="0.3">
      <c r="A999">
        <v>947</v>
      </c>
      <c r="B999">
        <v>15</v>
      </c>
      <c r="C999">
        <v>2</v>
      </c>
      <c r="D999">
        <v>104</v>
      </c>
      <c r="E999">
        <v>208</v>
      </c>
      <c r="F999">
        <v>297</v>
      </c>
      <c r="G999" s="1">
        <v>45435</v>
      </c>
      <c r="H999" t="s">
        <v>11</v>
      </c>
      <c r="I999">
        <v>2024</v>
      </c>
      <c r="J999">
        <v>5</v>
      </c>
    </row>
    <row r="1000" spans="1:10" x14ac:dyDescent="0.3">
      <c r="A1000">
        <v>947</v>
      </c>
      <c r="B1000">
        <v>17</v>
      </c>
      <c r="C1000">
        <v>1</v>
      </c>
      <c r="D1000">
        <v>31</v>
      </c>
      <c r="E1000">
        <v>31</v>
      </c>
      <c r="F1000">
        <v>297</v>
      </c>
      <c r="G1000" s="1">
        <v>45435</v>
      </c>
      <c r="H1000" t="s">
        <v>11</v>
      </c>
      <c r="I1000">
        <v>2024</v>
      </c>
      <c r="J1000">
        <v>5</v>
      </c>
    </row>
    <row r="1001" spans="1:10" x14ac:dyDescent="0.3">
      <c r="A1001">
        <v>947</v>
      </c>
      <c r="B1001">
        <v>25</v>
      </c>
      <c r="C1001">
        <v>4</v>
      </c>
      <c r="D1001">
        <v>110</v>
      </c>
      <c r="E1001">
        <v>440</v>
      </c>
      <c r="F1001">
        <v>297</v>
      </c>
      <c r="G1001" s="1">
        <v>45435</v>
      </c>
      <c r="H1001" t="s">
        <v>11</v>
      </c>
      <c r="I1001">
        <v>2024</v>
      </c>
      <c r="J1001">
        <v>5</v>
      </c>
    </row>
    <row r="1002" spans="1:10" x14ac:dyDescent="0.3">
      <c r="A1002">
        <v>947</v>
      </c>
      <c r="B1002">
        <v>44</v>
      </c>
      <c r="C1002">
        <v>5</v>
      </c>
      <c r="D1002">
        <v>22</v>
      </c>
      <c r="E1002">
        <v>110</v>
      </c>
      <c r="F1002">
        <v>297</v>
      </c>
      <c r="G1002" s="1">
        <v>45435</v>
      </c>
      <c r="H1002" t="s">
        <v>11</v>
      </c>
      <c r="I1002">
        <v>2024</v>
      </c>
      <c r="J1002">
        <v>5</v>
      </c>
    </row>
    <row r="1003" spans="1:10" x14ac:dyDescent="0.3">
      <c r="A1003">
        <v>661</v>
      </c>
      <c r="B1003">
        <v>8</v>
      </c>
      <c r="C1003">
        <v>3</v>
      </c>
      <c r="D1003">
        <v>32</v>
      </c>
      <c r="E1003">
        <v>96</v>
      </c>
      <c r="F1003">
        <v>247</v>
      </c>
      <c r="G1003" s="1">
        <v>45410</v>
      </c>
      <c r="H1003" t="s">
        <v>11</v>
      </c>
      <c r="I1003">
        <v>2024</v>
      </c>
      <c r="J1003">
        <v>4</v>
      </c>
    </row>
    <row r="1004" spans="1:10" x14ac:dyDescent="0.3">
      <c r="A1004">
        <v>661</v>
      </c>
      <c r="B1004">
        <v>47</v>
      </c>
      <c r="C1004">
        <v>3</v>
      </c>
      <c r="D1004">
        <v>82</v>
      </c>
      <c r="E1004">
        <v>246</v>
      </c>
      <c r="F1004">
        <v>247</v>
      </c>
      <c r="G1004" s="1">
        <v>45410</v>
      </c>
      <c r="H1004" t="s">
        <v>11</v>
      </c>
      <c r="I1004">
        <v>2024</v>
      </c>
      <c r="J1004">
        <v>4</v>
      </c>
    </row>
    <row r="1005" spans="1:10" x14ac:dyDescent="0.3">
      <c r="A1005">
        <v>661</v>
      </c>
      <c r="B1005">
        <v>27</v>
      </c>
      <c r="C1005">
        <v>2</v>
      </c>
      <c r="D1005">
        <v>96</v>
      </c>
      <c r="E1005">
        <v>192</v>
      </c>
      <c r="F1005">
        <v>247</v>
      </c>
      <c r="G1005" s="1">
        <v>45410</v>
      </c>
      <c r="H1005" t="s">
        <v>11</v>
      </c>
      <c r="I1005">
        <v>2024</v>
      </c>
      <c r="J1005">
        <v>4</v>
      </c>
    </row>
    <row r="1006" spans="1:10" x14ac:dyDescent="0.3">
      <c r="A1006">
        <v>282</v>
      </c>
      <c r="B1006">
        <v>46</v>
      </c>
      <c r="C1006">
        <v>2</v>
      </c>
      <c r="D1006">
        <v>26</v>
      </c>
      <c r="E1006">
        <v>52</v>
      </c>
      <c r="F1006">
        <v>181</v>
      </c>
      <c r="G1006" s="1">
        <v>45593</v>
      </c>
      <c r="H1006" t="s">
        <v>11</v>
      </c>
      <c r="I1006">
        <v>2024</v>
      </c>
      <c r="J1006">
        <v>10</v>
      </c>
    </row>
    <row r="1007" spans="1:10" x14ac:dyDescent="0.3">
      <c r="A1007">
        <v>282</v>
      </c>
      <c r="B1007">
        <v>34</v>
      </c>
      <c r="C1007">
        <v>4</v>
      </c>
      <c r="D1007">
        <v>68</v>
      </c>
      <c r="E1007">
        <v>272</v>
      </c>
      <c r="F1007">
        <v>181</v>
      </c>
      <c r="G1007" s="1">
        <v>45593</v>
      </c>
      <c r="H1007" t="s">
        <v>11</v>
      </c>
      <c r="I1007">
        <v>2024</v>
      </c>
      <c r="J1007">
        <v>10</v>
      </c>
    </row>
    <row r="1008" spans="1:10" x14ac:dyDescent="0.3">
      <c r="A1008">
        <v>109</v>
      </c>
      <c r="B1008">
        <v>13</v>
      </c>
      <c r="C1008">
        <v>1</v>
      </c>
      <c r="D1008">
        <v>23</v>
      </c>
      <c r="E1008">
        <v>23</v>
      </c>
      <c r="F1008">
        <v>15</v>
      </c>
      <c r="G1008" s="1">
        <v>45400</v>
      </c>
      <c r="H1008" t="s">
        <v>11</v>
      </c>
      <c r="I1008">
        <v>2024</v>
      </c>
      <c r="J1008">
        <v>4</v>
      </c>
    </row>
    <row r="1009" spans="1:10" x14ac:dyDescent="0.3">
      <c r="A1009">
        <v>109</v>
      </c>
      <c r="B1009">
        <v>23</v>
      </c>
      <c r="C1009">
        <v>4</v>
      </c>
      <c r="D1009">
        <v>78</v>
      </c>
      <c r="E1009">
        <v>312</v>
      </c>
      <c r="F1009">
        <v>15</v>
      </c>
      <c r="G1009" s="1">
        <v>45400</v>
      </c>
      <c r="H1009" t="s">
        <v>11</v>
      </c>
      <c r="I1009">
        <v>2024</v>
      </c>
      <c r="J1009">
        <v>4</v>
      </c>
    </row>
    <row r="1010" spans="1:10" x14ac:dyDescent="0.3">
      <c r="A1010">
        <v>109</v>
      </c>
      <c r="B1010">
        <v>32</v>
      </c>
      <c r="C1010">
        <v>5</v>
      </c>
      <c r="D1010">
        <v>103</v>
      </c>
      <c r="E1010">
        <v>515</v>
      </c>
      <c r="F1010">
        <v>15</v>
      </c>
      <c r="G1010" s="1">
        <v>45400</v>
      </c>
      <c r="H1010" t="s">
        <v>11</v>
      </c>
      <c r="I1010">
        <v>2024</v>
      </c>
      <c r="J1010">
        <v>4</v>
      </c>
    </row>
    <row r="1011" spans="1:10" x14ac:dyDescent="0.3">
      <c r="A1011">
        <v>109</v>
      </c>
      <c r="B1011">
        <v>7</v>
      </c>
      <c r="C1011">
        <v>2</v>
      </c>
      <c r="D1011">
        <v>85</v>
      </c>
      <c r="E1011">
        <v>170</v>
      </c>
      <c r="F1011">
        <v>15</v>
      </c>
      <c r="G1011" s="1">
        <v>45400</v>
      </c>
      <c r="H1011" t="s">
        <v>11</v>
      </c>
      <c r="I1011">
        <v>2024</v>
      </c>
      <c r="J1011">
        <v>4</v>
      </c>
    </row>
    <row r="1012" spans="1:10" x14ac:dyDescent="0.3">
      <c r="A1012">
        <v>552</v>
      </c>
      <c r="B1012">
        <v>8</v>
      </c>
      <c r="C1012">
        <v>1</v>
      </c>
      <c r="D1012">
        <v>70</v>
      </c>
      <c r="E1012">
        <v>70</v>
      </c>
      <c r="F1012">
        <v>229</v>
      </c>
      <c r="G1012" s="1">
        <v>45337</v>
      </c>
      <c r="H1012" t="s">
        <v>11</v>
      </c>
      <c r="I1012">
        <v>2024</v>
      </c>
      <c r="J1012">
        <v>2</v>
      </c>
    </row>
    <row r="1013" spans="1:10" x14ac:dyDescent="0.3">
      <c r="A1013">
        <v>405</v>
      </c>
      <c r="B1013">
        <v>26</v>
      </c>
      <c r="C1013">
        <v>2</v>
      </c>
      <c r="D1013">
        <v>40</v>
      </c>
      <c r="E1013">
        <v>80</v>
      </c>
      <c r="F1013">
        <v>147</v>
      </c>
      <c r="G1013" s="1">
        <v>45528</v>
      </c>
      <c r="H1013" t="s">
        <v>11</v>
      </c>
      <c r="I1013">
        <v>2024</v>
      </c>
      <c r="J1013">
        <v>8</v>
      </c>
    </row>
    <row r="1014" spans="1:10" x14ac:dyDescent="0.3">
      <c r="A1014">
        <v>405</v>
      </c>
      <c r="B1014">
        <v>34</v>
      </c>
      <c r="C1014">
        <v>4</v>
      </c>
      <c r="D1014">
        <v>92</v>
      </c>
      <c r="E1014">
        <v>368</v>
      </c>
      <c r="F1014">
        <v>147</v>
      </c>
      <c r="G1014" s="1">
        <v>45528</v>
      </c>
      <c r="H1014" t="s">
        <v>11</v>
      </c>
      <c r="I1014">
        <v>2024</v>
      </c>
      <c r="J1014">
        <v>8</v>
      </c>
    </row>
    <row r="1015" spans="1:10" x14ac:dyDescent="0.3">
      <c r="A1015">
        <v>132</v>
      </c>
      <c r="B1015">
        <v>36</v>
      </c>
      <c r="C1015">
        <v>3</v>
      </c>
      <c r="D1015">
        <v>82</v>
      </c>
      <c r="E1015">
        <v>246</v>
      </c>
      <c r="F1015">
        <v>45</v>
      </c>
      <c r="G1015" s="1">
        <v>45578</v>
      </c>
      <c r="H1015" t="s">
        <v>11</v>
      </c>
      <c r="I1015">
        <v>2024</v>
      </c>
      <c r="J1015">
        <v>10</v>
      </c>
    </row>
    <row r="1016" spans="1:10" x14ac:dyDescent="0.3">
      <c r="A1016">
        <v>874</v>
      </c>
      <c r="B1016">
        <v>29</v>
      </c>
      <c r="C1016">
        <v>4</v>
      </c>
      <c r="D1016">
        <v>17</v>
      </c>
      <c r="E1016">
        <v>68</v>
      </c>
      <c r="F1016">
        <v>63</v>
      </c>
      <c r="G1016" s="1">
        <v>45393</v>
      </c>
      <c r="H1016" t="s">
        <v>11</v>
      </c>
      <c r="I1016">
        <v>2024</v>
      </c>
      <c r="J1016">
        <v>4</v>
      </c>
    </row>
    <row r="1017" spans="1:10" x14ac:dyDescent="0.3">
      <c r="A1017">
        <v>84</v>
      </c>
      <c r="B1017">
        <v>47</v>
      </c>
      <c r="C1017">
        <v>5</v>
      </c>
      <c r="D1017">
        <v>30</v>
      </c>
      <c r="E1017">
        <v>150</v>
      </c>
      <c r="F1017">
        <v>261</v>
      </c>
      <c r="G1017" s="1">
        <v>45571</v>
      </c>
      <c r="H1017" t="s">
        <v>11</v>
      </c>
      <c r="I1017">
        <v>2024</v>
      </c>
      <c r="J1017">
        <v>10</v>
      </c>
    </row>
    <row r="1018" spans="1:10" x14ac:dyDescent="0.3">
      <c r="A1018">
        <v>84</v>
      </c>
      <c r="B1018">
        <v>11</v>
      </c>
      <c r="C1018">
        <v>2</v>
      </c>
      <c r="D1018">
        <v>97</v>
      </c>
      <c r="E1018">
        <v>194</v>
      </c>
      <c r="F1018">
        <v>261</v>
      </c>
      <c r="G1018" s="1">
        <v>45571</v>
      </c>
      <c r="H1018" t="s">
        <v>11</v>
      </c>
      <c r="I1018">
        <v>2024</v>
      </c>
      <c r="J1018">
        <v>10</v>
      </c>
    </row>
    <row r="1019" spans="1:10" x14ac:dyDescent="0.3">
      <c r="A1019">
        <v>84</v>
      </c>
      <c r="B1019">
        <v>27</v>
      </c>
      <c r="C1019">
        <v>2</v>
      </c>
      <c r="D1019">
        <v>119</v>
      </c>
      <c r="E1019">
        <v>238</v>
      </c>
      <c r="F1019">
        <v>261</v>
      </c>
      <c r="G1019" s="1">
        <v>45571</v>
      </c>
      <c r="H1019" t="s">
        <v>11</v>
      </c>
      <c r="I1019">
        <v>2024</v>
      </c>
      <c r="J1019">
        <v>10</v>
      </c>
    </row>
    <row r="1020" spans="1:10" x14ac:dyDescent="0.3">
      <c r="A1020">
        <v>399</v>
      </c>
      <c r="B1020">
        <v>12</v>
      </c>
      <c r="C1020">
        <v>4</v>
      </c>
      <c r="D1020">
        <v>86</v>
      </c>
      <c r="E1020">
        <v>344</v>
      </c>
      <c r="F1020">
        <v>246</v>
      </c>
      <c r="G1020" s="1">
        <v>45614</v>
      </c>
      <c r="H1020" t="s">
        <v>11</v>
      </c>
      <c r="I1020">
        <v>2024</v>
      </c>
      <c r="J1020">
        <v>11</v>
      </c>
    </row>
    <row r="1021" spans="1:10" x14ac:dyDescent="0.3">
      <c r="A1021">
        <v>399</v>
      </c>
      <c r="B1021">
        <v>18</v>
      </c>
      <c r="C1021">
        <v>2</v>
      </c>
      <c r="D1021">
        <v>15</v>
      </c>
      <c r="E1021">
        <v>30</v>
      </c>
      <c r="F1021">
        <v>246</v>
      </c>
      <c r="G1021" s="1">
        <v>45614</v>
      </c>
      <c r="H1021" t="s">
        <v>11</v>
      </c>
      <c r="I1021">
        <v>2024</v>
      </c>
      <c r="J1021">
        <v>11</v>
      </c>
    </row>
    <row r="1022" spans="1:10" x14ac:dyDescent="0.3">
      <c r="A1022">
        <v>221</v>
      </c>
      <c r="B1022">
        <v>16</v>
      </c>
      <c r="C1022">
        <v>4</v>
      </c>
      <c r="D1022">
        <v>79</v>
      </c>
      <c r="E1022">
        <v>316</v>
      </c>
      <c r="F1022">
        <v>9</v>
      </c>
      <c r="G1022" s="1">
        <v>45491</v>
      </c>
      <c r="H1022" t="s">
        <v>11</v>
      </c>
      <c r="I1022">
        <v>2024</v>
      </c>
      <c r="J1022">
        <v>7</v>
      </c>
    </row>
    <row r="1023" spans="1:10" x14ac:dyDescent="0.3">
      <c r="A1023">
        <v>221</v>
      </c>
      <c r="B1023">
        <v>24</v>
      </c>
      <c r="C1023">
        <v>1</v>
      </c>
      <c r="D1023">
        <v>58</v>
      </c>
      <c r="E1023">
        <v>58</v>
      </c>
      <c r="F1023">
        <v>9</v>
      </c>
      <c r="G1023" s="1">
        <v>45491</v>
      </c>
      <c r="H1023" t="s">
        <v>11</v>
      </c>
      <c r="I1023">
        <v>2024</v>
      </c>
      <c r="J1023">
        <v>7</v>
      </c>
    </row>
    <row r="1024" spans="1:10" x14ac:dyDescent="0.3">
      <c r="A1024">
        <v>368</v>
      </c>
      <c r="B1024">
        <v>7</v>
      </c>
      <c r="C1024">
        <v>4</v>
      </c>
      <c r="D1024">
        <v>26</v>
      </c>
      <c r="E1024">
        <v>104</v>
      </c>
      <c r="F1024">
        <v>118</v>
      </c>
      <c r="G1024" s="1">
        <v>45414</v>
      </c>
      <c r="H1024" t="s">
        <v>11</v>
      </c>
      <c r="I1024">
        <v>2024</v>
      </c>
      <c r="J1024">
        <v>5</v>
      </c>
    </row>
    <row r="1025" spans="1:10" x14ac:dyDescent="0.3">
      <c r="A1025">
        <v>368</v>
      </c>
      <c r="B1025">
        <v>10</v>
      </c>
      <c r="C1025">
        <v>1</v>
      </c>
      <c r="D1025">
        <v>46</v>
      </c>
      <c r="E1025">
        <v>46</v>
      </c>
      <c r="F1025">
        <v>118</v>
      </c>
      <c r="G1025" s="1">
        <v>45414</v>
      </c>
      <c r="H1025" t="s">
        <v>11</v>
      </c>
      <c r="I1025">
        <v>2024</v>
      </c>
      <c r="J1025">
        <v>5</v>
      </c>
    </row>
    <row r="1026" spans="1:10" x14ac:dyDescent="0.3">
      <c r="A1026">
        <v>147</v>
      </c>
      <c r="B1026">
        <v>45</v>
      </c>
      <c r="C1026">
        <v>3</v>
      </c>
      <c r="D1026">
        <v>84</v>
      </c>
      <c r="E1026">
        <v>252</v>
      </c>
      <c r="F1026">
        <v>233</v>
      </c>
      <c r="G1026" s="1">
        <v>45654</v>
      </c>
      <c r="H1026" t="s">
        <v>11</v>
      </c>
      <c r="I1026">
        <v>2024</v>
      </c>
      <c r="J1026">
        <v>12</v>
      </c>
    </row>
    <row r="1027" spans="1:10" x14ac:dyDescent="0.3">
      <c r="A1027">
        <v>147</v>
      </c>
      <c r="B1027">
        <v>20</v>
      </c>
      <c r="C1027">
        <v>3</v>
      </c>
      <c r="D1027">
        <v>112</v>
      </c>
      <c r="E1027">
        <v>336</v>
      </c>
      <c r="F1027">
        <v>233</v>
      </c>
      <c r="G1027" s="1">
        <v>45654</v>
      </c>
      <c r="H1027" t="s">
        <v>11</v>
      </c>
      <c r="I1027">
        <v>2024</v>
      </c>
      <c r="J1027">
        <v>12</v>
      </c>
    </row>
    <row r="1028" spans="1:10" x14ac:dyDescent="0.3">
      <c r="A1028">
        <v>112</v>
      </c>
      <c r="B1028">
        <v>37</v>
      </c>
      <c r="C1028">
        <v>5</v>
      </c>
      <c r="D1028">
        <v>29</v>
      </c>
      <c r="E1028">
        <v>145</v>
      </c>
      <c r="F1028">
        <v>63</v>
      </c>
      <c r="G1028" s="1">
        <v>45584</v>
      </c>
      <c r="H1028" t="s">
        <v>11</v>
      </c>
      <c r="I1028">
        <v>2024</v>
      </c>
      <c r="J1028">
        <v>10</v>
      </c>
    </row>
    <row r="1029" spans="1:10" x14ac:dyDescent="0.3">
      <c r="A1029">
        <v>112</v>
      </c>
      <c r="B1029">
        <v>2</v>
      </c>
      <c r="C1029">
        <v>1</v>
      </c>
      <c r="D1029">
        <v>35</v>
      </c>
      <c r="E1029">
        <v>35</v>
      </c>
      <c r="F1029">
        <v>63</v>
      </c>
      <c r="G1029" s="1">
        <v>45584</v>
      </c>
      <c r="H1029" t="s">
        <v>11</v>
      </c>
      <c r="I1029">
        <v>2024</v>
      </c>
      <c r="J1029">
        <v>10</v>
      </c>
    </row>
    <row r="1030" spans="1:10" x14ac:dyDescent="0.3">
      <c r="A1030">
        <v>112</v>
      </c>
      <c r="B1030">
        <v>33</v>
      </c>
      <c r="C1030">
        <v>2</v>
      </c>
      <c r="D1030">
        <v>83</v>
      </c>
      <c r="E1030">
        <v>166</v>
      </c>
      <c r="F1030">
        <v>63</v>
      </c>
      <c r="G1030" s="1">
        <v>45584</v>
      </c>
      <c r="H1030" t="s">
        <v>11</v>
      </c>
      <c r="I1030">
        <v>2024</v>
      </c>
      <c r="J1030">
        <v>10</v>
      </c>
    </row>
    <row r="1031" spans="1:10" x14ac:dyDescent="0.3">
      <c r="A1031">
        <v>112</v>
      </c>
      <c r="B1031">
        <v>45</v>
      </c>
      <c r="C1031">
        <v>2</v>
      </c>
      <c r="D1031">
        <v>73</v>
      </c>
      <c r="E1031">
        <v>146</v>
      </c>
      <c r="F1031">
        <v>63</v>
      </c>
      <c r="G1031" s="1">
        <v>45584</v>
      </c>
      <c r="H1031" t="s">
        <v>11</v>
      </c>
      <c r="I1031">
        <v>2024</v>
      </c>
      <c r="J1031">
        <v>10</v>
      </c>
    </row>
    <row r="1032" spans="1:10" x14ac:dyDescent="0.3">
      <c r="A1032">
        <v>615</v>
      </c>
      <c r="B1032">
        <v>29</v>
      </c>
      <c r="C1032">
        <v>2</v>
      </c>
      <c r="D1032">
        <v>57</v>
      </c>
      <c r="E1032">
        <v>114</v>
      </c>
      <c r="F1032">
        <v>133</v>
      </c>
      <c r="G1032" s="1">
        <v>45434</v>
      </c>
      <c r="H1032" t="s">
        <v>11</v>
      </c>
      <c r="I1032">
        <v>2024</v>
      </c>
      <c r="J1032">
        <v>5</v>
      </c>
    </row>
    <row r="1033" spans="1:10" x14ac:dyDescent="0.3">
      <c r="A1033">
        <v>615</v>
      </c>
      <c r="B1033">
        <v>11</v>
      </c>
      <c r="C1033">
        <v>4</v>
      </c>
      <c r="D1033">
        <v>35</v>
      </c>
      <c r="E1033">
        <v>140</v>
      </c>
      <c r="F1033">
        <v>133</v>
      </c>
      <c r="G1033" s="1">
        <v>45434</v>
      </c>
      <c r="H1033" t="s">
        <v>11</v>
      </c>
      <c r="I1033">
        <v>2024</v>
      </c>
      <c r="J1033">
        <v>5</v>
      </c>
    </row>
    <row r="1034" spans="1:10" x14ac:dyDescent="0.3">
      <c r="A1034">
        <v>924</v>
      </c>
      <c r="B1034">
        <v>15</v>
      </c>
      <c r="C1034">
        <v>1</v>
      </c>
      <c r="D1034">
        <v>11</v>
      </c>
      <c r="E1034">
        <v>11</v>
      </c>
      <c r="F1034">
        <v>148</v>
      </c>
      <c r="G1034" s="1">
        <v>45398</v>
      </c>
      <c r="H1034" t="s">
        <v>11</v>
      </c>
      <c r="I1034">
        <v>2024</v>
      </c>
      <c r="J1034">
        <v>4</v>
      </c>
    </row>
    <row r="1035" spans="1:10" x14ac:dyDescent="0.3">
      <c r="A1035">
        <v>924</v>
      </c>
      <c r="B1035">
        <v>40</v>
      </c>
      <c r="C1035">
        <v>1</v>
      </c>
      <c r="D1035">
        <v>87</v>
      </c>
      <c r="E1035">
        <v>87</v>
      </c>
      <c r="F1035">
        <v>148</v>
      </c>
      <c r="G1035" s="1">
        <v>45398</v>
      </c>
      <c r="H1035" t="s">
        <v>11</v>
      </c>
      <c r="I1035">
        <v>2024</v>
      </c>
      <c r="J1035">
        <v>4</v>
      </c>
    </row>
    <row r="1036" spans="1:10" x14ac:dyDescent="0.3">
      <c r="A1036">
        <v>924</v>
      </c>
      <c r="B1036">
        <v>42</v>
      </c>
      <c r="C1036">
        <v>4</v>
      </c>
      <c r="D1036">
        <v>53</v>
      </c>
      <c r="E1036">
        <v>212</v>
      </c>
      <c r="F1036">
        <v>148</v>
      </c>
      <c r="G1036" s="1">
        <v>45398</v>
      </c>
      <c r="H1036" t="s">
        <v>11</v>
      </c>
      <c r="I1036">
        <v>2024</v>
      </c>
      <c r="J1036">
        <v>4</v>
      </c>
    </row>
    <row r="1037" spans="1:10" x14ac:dyDescent="0.3">
      <c r="A1037">
        <v>494</v>
      </c>
      <c r="B1037">
        <v>36</v>
      </c>
      <c r="C1037">
        <v>3</v>
      </c>
      <c r="D1037">
        <v>46</v>
      </c>
      <c r="E1037">
        <v>138</v>
      </c>
      <c r="F1037">
        <v>215</v>
      </c>
      <c r="G1037" s="1">
        <v>45324</v>
      </c>
      <c r="H1037" t="s">
        <v>11</v>
      </c>
      <c r="I1037">
        <v>2024</v>
      </c>
      <c r="J1037">
        <v>2</v>
      </c>
    </row>
    <row r="1038" spans="1:10" x14ac:dyDescent="0.3">
      <c r="A1038">
        <v>494</v>
      </c>
      <c r="B1038">
        <v>26</v>
      </c>
      <c r="C1038">
        <v>2</v>
      </c>
      <c r="D1038">
        <v>83</v>
      </c>
      <c r="E1038">
        <v>166</v>
      </c>
      <c r="F1038">
        <v>215</v>
      </c>
      <c r="G1038" s="1">
        <v>45324</v>
      </c>
      <c r="H1038" t="s">
        <v>11</v>
      </c>
      <c r="I1038">
        <v>2024</v>
      </c>
      <c r="J1038">
        <v>2</v>
      </c>
    </row>
    <row r="1039" spans="1:10" x14ac:dyDescent="0.3">
      <c r="A1039">
        <v>494</v>
      </c>
      <c r="B1039">
        <v>23</v>
      </c>
      <c r="C1039">
        <v>3</v>
      </c>
      <c r="D1039">
        <v>56</v>
      </c>
      <c r="E1039">
        <v>168</v>
      </c>
      <c r="F1039">
        <v>215</v>
      </c>
      <c r="G1039" s="1">
        <v>45324</v>
      </c>
      <c r="H1039" t="s">
        <v>11</v>
      </c>
      <c r="I1039">
        <v>2024</v>
      </c>
      <c r="J1039">
        <v>2</v>
      </c>
    </row>
    <row r="1040" spans="1:10" x14ac:dyDescent="0.3">
      <c r="A1040">
        <v>505</v>
      </c>
      <c r="B1040">
        <v>47</v>
      </c>
      <c r="C1040">
        <v>4</v>
      </c>
      <c r="D1040">
        <v>10</v>
      </c>
      <c r="E1040">
        <v>40</v>
      </c>
      <c r="F1040">
        <v>174</v>
      </c>
      <c r="G1040" s="1">
        <v>45576</v>
      </c>
      <c r="H1040" t="s">
        <v>11</v>
      </c>
      <c r="I1040">
        <v>2024</v>
      </c>
      <c r="J1040">
        <v>10</v>
      </c>
    </row>
    <row r="1041" spans="1:10" x14ac:dyDescent="0.3">
      <c r="A1041">
        <v>505</v>
      </c>
      <c r="B1041">
        <v>19</v>
      </c>
      <c r="C1041">
        <v>5</v>
      </c>
      <c r="D1041">
        <v>37</v>
      </c>
      <c r="E1041">
        <v>185</v>
      </c>
      <c r="F1041">
        <v>174</v>
      </c>
      <c r="G1041" s="1">
        <v>45576</v>
      </c>
      <c r="H1041" t="s">
        <v>11</v>
      </c>
      <c r="I1041">
        <v>2024</v>
      </c>
      <c r="J1041">
        <v>10</v>
      </c>
    </row>
    <row r="1042" spans="1:10" x14ac:dyDescent="0.3">
      <c r="A1042">
        <v>505</v>
      </c>
      <c r="B1042">
        <v>33</v>
      </c>
      <c r="C1042">
        <v>3</v>
      </c>
      <c r="D1042">
        <v>71</v>
      </c>
      <c r="E1042">
        <v>213</v>
      </c>
      <c r="F1042">
        <v>174</v>
      </c>
      <c r="G1042" s="1">
        <v>45576</v>
      </c>
      <c r="H1042" t="s">
        <v>11</v>
      </c>
      <c r="I1042">
        <v>2024</v>
      </c>
      <c r="J1042">
        <v>10</v>
      </c>
    </row>
    <row r="1043" spans="1:10" x14ac:dyDescent="0.3">
      <c r="A1043">
        <v>505</v>
      </c>
      <c r="B1043">
        <v>6</v>
      </c>
      <c r="C1043">
        <v>5</v>
      </c>
      <c r="D1043">
        <v>35</v>
      </c>
      <c r="E1043">
        <v>175</v>
      </c>
      <c r="F1043">
        <v>174</v>
      </c>
      <c r="G1043" s="1">
        <v>45576</v>
      </c>
      <c r="H1043" t="s">
        <v>11</v>
      </c>
      <c r="I1043">
        <v>2024</v>
      </c>
      <c r="J1043">
        <v>10</v>
      </c>
    </row>
    <row r="1044" spans="1:10" x14ac:dyDescent="0.3">
      <c r="A1044">
        <v>836</v>
      </c>
      <c r="B1044">
        <v>19</v>
      </c>
      <c r="C1044">
        <v>1</v>
      </c>
      <c r="D1044">
        <v>109</v>
      </c>
      <c r="E1044">
        <v>109</v>
      </c>
      <c r="F1044">
        <v>84</v>
      </c>
      <c r="G1044" s="1">
        <v>45509</v>
      </c>
      <c r="H1044" t="s">
        <v>11</v>
      </c>
      <c r="I1044">
        <v>2024</v>
      </c>
      <c r="J1044">
        <v>8</v>
      </c>
    </row>
    <row r="1045" spans="1:10" x14ac:dyDescent="0.3">
      <c r="A1045">
        <v>836</v>
      </c>
      <c r="B1045">
        <v>11</v>
      </c>
      <c r="C1045">
        <v>5</v>
      </c>
      <c r="D1045">
        <v>114</v>
      </c>
      <c r="E1045">
        <v>570</v>
      </c>
      <c r="F1045">
        <v>84</v>
      </c>
      <c r="G1045" s="1">
        <v>45509</v>
      </c>
      <c r="H1045" t="s">
        <v>11</v>
      </c>
      <c r="I1045">
        <v>2024</v>
      </c>
      <c r="J1045">
        <v>8</v>
      </c>
    </row>
    <row r="1046" spans="1:10" x14ac:dyDescent="0.3">
      <c r="A1046">
        <v>836</v>
      </c>
      <c r="B1046">
        <v>24</v>
      </c>
      <c r="C1046">
        <v>5</v>
      </c>
      <c r="D1046">
        <v>32</v>
      </c>
      <c r="E1046">
        <v>160</v>
      </c>
      <c r="F1046">
        <v>84</v>
      </c>
      <c r="G1046" s="1">
        <v>45509</v>
      </c>
      <c r="H1046" t="s">
        <v>11</v>
      </c>
      <c r="I1046">
        <v>2024</v>
      </c>
      <c r="J1046">
        <v>8</v>
      </c>
    </row>
    <row r="1047" spans="1:10" x14ac:dyDescent="0.3">
      <c r="A1047">
        <v>271</v>
      </c>
      <c r="B1047">
        <v>42</v>
      </c>
      <c r="C1047">
        <v>3</v>
      </c>
      <c r="D1047">
        <v>34</v>
      </c>
      <c r="E1047">
        <v>102</v>
      </c>
      <c r="F1047">
        <v>49</v>
      </c>
      <c r="G1047" s="1">
        <v>45518</v>
      </c>
      <c r="H1047" t="s">
        <v>11</v>
      </c>
      <c r="I1047">
        <v>2024</v>
      </c>
      <c r="J1047">
        <v>8</v>
      </c>
    </row>
    <row r="1048" spans="1:10" x14ac:dyDescent="0.3">
      <c r="A1048">
        <v>271</v>
      </c>
      <c r="B1048">
        <v>22</v>
      </c>
      <c r="C1048">
        <v>2</v>
      </c>
      <c r="D1048">
        <v>23</v>
      </c>
      <c r="E1048">
        <v>46</v>
      </c>
      <c r="F1048">
        <v>49</v>
      </c>
      <c r="G1048" s="1">
        <v>45518</v>
      </c>
      <c r="H1048" t="s">
        <v>11</v>
      </c>
      <c r="I1048">
        <v>2024</v>
      </c>
      <c r="J1048">
        <v>8</v>
      </c>
    </row>
    <row r="1049" spans="1:10" x14ac:dyDescent="0.3">
      <c r="A1049">
        <v>271</v>
      </c>
      <c r="B1049">
        <v>7</v>
      </c>
      <c r="C1049">
        <v>5</v>
      </c>
      <c r="D1049">
        <v>64</v>
      </c>
      <c r="E1049">
        <v>320</v>
      </c>
      <c r="F1049">
        <v>49</v>
      </c>
      <c r="G1049" s="1">
        <v>45518</v>
      </c>
      <c r="H1049" t="s">
        <v>11</v>
      </c>
      <c r="I1049">
        <v>2024</v>
      </c>
      <c r="J1049">
        <v>8</v>
      </c>
    </row>
    <row r="1050" spans="1:10" x14ac:dyDescent="0.3">
      <c r="A1050">
        <v>995</v>
      </c>
      <c r="B1050">
        <v>21</v>
      </c>
      <c r="C1050">
        <v>1</v>
      </c>
      <c r="D1050">
        <v>12</v>
      </c>
      <c r="E1050">
        <v>12</v>
      </c>
      <c r="F1050">
        <v>141</v>
      </c>
      <c r="G1050" s="1">
        <v>45341</v>
      </c>
      <c r="H1050" t="s">
        <v>11</v>
      </c>
      <c r="I1050">
        <v>2024</v>
      </c>
      <c r="J1050">
        <v>2</v>
      </c>
    </row>
    <row r="1051" spans="1:10" x14ac:dyDescent="0.3">
      <c r="A1051">
        <v>897</v>
      </c>
      <c r="B1051">
        <v>27</v>
      </c>
      <c r="C1051">
        <v>4</v>
      </c>
      <c r="D1051">
        <v>95</v>
      </c>
      <c r="E1051">
        <v>380</v>
      </c>
      <c r="F1051">
        <v>196</v>
      </c>
      <c r="G1051" s="1">
        <v>45558</v>
      </c>
      <c r="H1051" t="s">
        <v>11</v>
      </c>
      <c r="I1051">
        <v>2024</v>
      </c>
      <c r="J1051">
        <v>9</v>
      </c>
    </row>
    <row r="1052" spans="1:10" x14ac:dyDescent="0.3">
      <c r="A1052">
        <v>897</v>
      </c>
      <c r="B1052">
        <v>19</v>
      </c>
      <c r="C1052">
        <v>1</v>
      </c>
      <c r="D1052">
        <v>68</v>
      </c>
      <c r="E1052">
        <v>68</v>
      </c>
      <c r="F1052">
        <v>196</v>
      </c>
      <c r="G1052" s="1">
        <v>45558</v>
      </c>
      <c r="H1052" t="s">
        <v>11</v>
      </c>
      <c r="I1052">
        <v>2024</v>
      </c>
      <c r="J1052">
        <v>9</v>
      </c>
    </row>
    <row r="1053" spans="1:10" x14ac:dyDescent="0.3">
      <c r="A1053">
        <v>897</v>
      </c>
      <c r="B1053">
        <v>43</v>
      </c>
      <c r="C1053">
        <v>2</v>
      </c>
      <c r="D1053">
        <v>101</v>
      </c>
      <c r="E1053">
        <v>202</v>
      </c>
      <c r="F1053">
        <v>196</v>
      </c>
      <c r="G1053" s="1">
        <v>45558</v>
      </c>
      <c r="H1053" t="s">
        <v>11</v>
      </c>
      <c r="I1053">
        <v>2024</v>
      </c>
      <c r="J1053">
        <v>9</v>
      </c>
    </row>
    <row r="1054" spans="1:10" x14ac:dyDescent="0.3">
      <c r="A1054">
        <v>707</v>
      </c>
      <c r="B1054">
        <v>29</v>
      </c>
      <c r="C1054">
        <v>1</v>
      </c>
      <c r="D1054">
        <v>96</v>
      </c>
      <c r="E1054">
        <v>96</v>
      </c>
      <c r="F1054">
        <v>218</v>
      </c>
      <c r="G1054" s="1">
        <v>45477</v>
      </c>
      <c r="H1054" t="s">
        <v>11</v>
      </c>
      <c r="I1054">
        <v>2024</v>
      </c>
      <c r="J1054">
        <v>7</v>
      </c>
    </row>
    <row r="1055" spans="1:10" x14ac:dyDescent="0.3">
      <c r="A1055">
        <v>367</v>
      </c>
      <c r="B1055">
        <v>20</v>
      </c>
      <c r="C1055">
        <v>4</v>
      </c>
      <c r="D1055">
        <v>85</v>
      </c>
      <c r="E1055">
        <v>340</v>
      </c>
      <c r="F1055">
        <v>126</v>
      </c>
      <c r="G1055" s="1">
        <v>45614</v>
      </c>
      <c r="H1055" t="s">
        <v>11</v>
      </c>
      <c r="I1055">
        <v>2024</v>
      </c>
      <c r="J1055">
        <v>11</v>
      </c>
    </row>
    <row r="1056" spans="1:10" x14ac:dyDescent="0.3">
      <c r="A1056">
        <v>367</v>
      </c>
      <c r="B1056">
        <v>27</v>
      </c>
      <c r="C1056">
        <v>1</v>
      </c>
      <c r="D1056">
        <v>90</v>
      </c>
      <c r="E1056">
        <v>90</v>
      </c>
      <c r="F1056">
        <v>126</v>
      </c>
      <c r="G1056" s="1">
        <v>45614</v>
      </c>
      <c r="H1056" t="s">
        <v>11</v>
      </c>
      <c r="I1056">
        <v>2024</v>
      </c>
      <c r="J1056">
        <v>11</v>
      </c>
    </row>
    <row r="1057" spans="1:10" x14ac:dyDescent="0.3">
      <c r="A1057">
        <v>367</v>
      </c>
      <c r="B1057">
        <v>7</v>
      </c>
      <c r="C1057">
        <v>4</v>
      </c>
      <c r="D1057">
        <v>89</v>
      </c>
      <c r="E1057">
        <v>356</v>
      </c>
      <c r="F1057">
        <v>126</v>
      </c>
      <c r="G1057" s="1">
        <v>45614</v>
      </c>
      <c r="H1057" t="s">
        <v>11</v>
      </c>
      <c r="I1057">
        <v>2024</v>
      </c>
      <c r="J1057">
        <v>11</v>
      </c>
    </row>
    <row r="1058" spans="1:10" x14ac:dyDescent="0.3">
      <c r="A1058">
        <v>280</v>
      </c>
      <c r="B1058">
        <v>25</v>
      </c>
      <c r="C1058">
        <v>4</v>
      </c>
      <c r="D1058">
        <v>83</v>
      </c>
      <c r="E1058">
        <v>332</v>
      </c>
      <c r="F1058">
        <v>37</v>
      </c>
      <c r="G1058" s="1">
        <v>45518</v>
      </c>
      <c r="H1058" t="s">
        <v>11</v>
      </c>
      <c r="I1058">
        <v>2024</v>
      </c>
      <c r="J1058">
        <v>8</v>
      </c>
    </row>
    <row r="1059" spans="1:10" x14ac:dyDescent="0.3">
      <c r="A1059">
        <v>40</v>
      </c>
      <c r="B1059">
        <v>36</v>
      </c>
      <c r="C1059">
        <v>3</v>
      </c>
      <c r="D1059">
        <v>52</v>
      </c>
      <c r="E1059">
        <v>156</v>
      </c>
      <c r="F1059">
        <v>242</v>
      </c>
      <c r="G1059" s="1">
        <v>45342</v>
      </c>
      <c r="H1059" t="s">
        <v>11</v>
      </c>
      <c r="I1059">
        <v>2024</v>
      </c>
      <c r="J1059">
        <v>2</v>
      </c>
    </row>
    <row r="1060" spans="1:10" x14ac:dyDescent="0.3">
      <c r="A1060">
        <v>40</v>
      </c>
      <c r="B1060">
        <v>45</v>
      </c>
      <c r="C1060">
        <v>1</v>
      </c>
      <c r="D1060">
        <v>15</v>
      </c>
      <c r="E1060">
        <v>15</v>
      </c>
      <c r="F1060">
        <v>242</v>
      </c>
      <c r="G1060" s="1">
        <v>45342</v>
      </c>
      <c r="H1060" t="s">
        <v>11</v>
      </c>
      <c r="I1060">
        <v>2024</v>
      </c>
      <c r="J1060">
        <v>2</v>
      </c>
    </row>
    <row r="1061" spans="1:10" x14ac:dyDescent="0.3">
      <c r="A1061">
        <v>40</v>
      </c>
      <c r="B1061">
        <v>9</v>
      </c>
      <c r="C1061">
        <v>5</v>
      </c>
      <c r="D1061">
        <v>13</v>
      </c>
      <c r="E1061">
        <v>65</v>
      </c>
      <c r="F1061">
        <v>242</v>
      </c>
      <c r="G1061" s="1">
        <v>45342</v>
      </c>
      <c r="H1061" t="s">
        <v>11</v>
      </c>
      <c r="I1061">
        <v>2024</v>
      </c>
      <c r="J1061">
        <v>2</v>
      </c>
    </row>
    <row r="1062" spans="1:10" x14ac:dyDescent="0.3">
      <c r="A1062">
        <v>40</v>
      </c>
      <c r="B1062">
        <v>26</v>
      </c>
      <c r="C1062">
        <v>3</v>
      </c>
      <c r="D1062">
        <v>63</v>
      </c>
      <c r="E1062">
        <v>189</v>
      </c>
      <c r="F1062">
        <v>242</v>
      </c>
      <c r="G1062" s="1">
        <v>45342</v>
      </c>
      <c r="H1062" t="s">
        <v>11</v>
      </c>
      <c r="I1062">
        <v>2024</v>
      </c>
      <c r="J1062">
        <v>2</v>
      </c>
    </row>
    <row r="1063" spans="1:10" x14ac:dyDescent="0.3">
      <c r="A1063">
        <v>164</v>
      </c>
      <c r="B1063">
        <v>32</v>
      </c>
      <c r="C1063">
        <v>5</v>
      </c>
      <c r="D1063">
        <v>31</v>
      </c>
      <c r="E1063">
        <v>155</v>
      </c>
      <c r="F1063">
        <v>113</v>
      </c>
      <c r="G1063" s="1">
        <v>45601</v>
      </c>
      <c r="H1063" t="s">
        <v>11</v>
      </c>
      <c r="I1063">
        <v>2024</v>
      </c>
      <c r="J1063">
        <v>11</v>
      </c>
    </row>
    <row r="1064" spans="1:10" x14ac:dyDescent="0.3">
      <c r="A1064">
        <v>164</v>
      </c>
      <c r="B1064">
        <v>25</v>
      </c>
      <c r="C1064">
        <v>2</v>
      </c>
      <c r="D1064">
        <v>90</v>
      </c>
      <c r="E1064">
        <v>180</v>
      </c>
      <c r="F1064">
        <v>113</v>
      </c>
      <c r="G1064" s="1">
        <v>45601</v>
      </c>
      <c r="H1064" t="s">
        <v>11</v>
      </c>
      <c r="I1064">
        <v>2024</v>
      </c>
      <c r="J1064">
        <v>11</v>
      </c>
    </row>
    <row r="1065" spans="1:10" x14ac:dyDescent="0.3">
      <c r="A1065">
        <v>164</v>
      </c>
      <c r="B1065">
        <v>41</v>
      </c>
      <c r="C1065">
        <v>2</v>
      </c>
      <c r="D1065">
        <v>53</v>
      </c>
      <c r="E1065">
        <v>106</v>
      </c>
      <c r="F1065">
        <v>113</v>
      </c>
      <c r="G1065" s="1">
        <v>45601</v>
      </c>
      <c r="H1065" t="s">
        <v>11</v>
      </c>
      <c r="I1065">
        <v>2024</v>
      </c>
      <c r="J1065">
        <v>11</v>
      </c>
    </row>
    <row r="1066" spans="1:10" x14ac:dyDescent="0.3">
      <c r="A1066">
        <v>994</v>
      </c>
      <c r="B1066">
        <v>16</v>
      </c>
      <c r="C1066">
        <v>4</v>
      </c>
      <c r="D1066">
        <v>79</v>
      </c>
      <c r="E1066">
        <v>316</v>
      </c>
      <c r="F1066">
        <v>224</v>
      </c>
      <c r="G1066" s="1">
        <v>45359</v>
      </c>
      <c r="H1066" t="s">
        <v>11</v>
      </c>
      <c r="I1066">
        <v>2024</v>
      </c>
      <c r="J1066">
        <v>3</v>
      </c>
    </row>
    <row r="1067" spans="1:10" x14ac:dyDescent="0.3">
      <c r="A1067">
        <v>994</v>
      </c>
      <c r="B1067">
        <v>18</v>
      </c>
      <c r="C1067">
        <v>1</v>
      </c>
      <c r="D1067">
        <v>99</v>
      </c>
      <c r="E1067">
        <v>99</v>
      </c>
      <c r="F1067">
        <v>224</v>
      </c>
      <c r="G1067" s="1">
        <v>45359</v>
      </c>
      <c r="H1067" t="s">
        <v>11</v>
      </c>
      <c r="I1067">
        <v>2024</v>
      </c>
      <c r="J1067">
        <v>3</v>
      </c>
    </row>
    <row r="1068" spans="1:10" x14ac:dyDescent="0.3">
      <c r="A1068">
        <v>989</v>
      </c>
      <c r="B1068">
        <v>18</v>
      </c>
      <c r="C1068">
        <v>4</v>
      </c>
      <c r="D1068">
        <v>11</v>
      </c>
      <c r="E1068">
        <v>44</v>
      </c>
      <c r="F1068">
        <v>118</v>
      </c>
      <c r="G1068" s="1">
        <v>45499</v>
      </c>
      <c r="H1068" t="s">
        <v>11</v>
      </c>
      <c r="I1068">
        <v>2024</v>
      </c>
      <c r="J1068">
        <v>7</v>
      </c>
    </row>
    <row r="1069" spans="1:10" x14ac:dyDescent="0.3">
      <c r="A1069">
        <v>4</v>
      </c>
      <c r="B1069">
        <v>30</v>
      </c>
      <c r="C1069">
        <v>1</v>
      </c>
      <c r="D1069">
        <v>41</v>
      </c>
      <c r="E1069">
        <v>41</v>
      </c>
      <c r="F1069">
        <v>72</v>
      </c>
      <c r="G1069" s="1">
        <v>45310</v>
      </c>
      <c r="H1069" t="s">
        <v>11</v>
      </c>
      <c r="I1069">
        <v>2024</v>
      </c>
      <c r="J1069">
        <v>1</v>
      </c>
    </row>
    <row r="1070" spans="1:10" x14ac:dyDescent="0.3">
      <c r="A1070">
        <v>953</v>
      </c>
      <c r="B1070">
        <v>23</v>
      </c>
      <c r="C1070">
        <v>2</v>
      </c>
      <c r="D1070">
        <v>85</v>
      </c>
      <c r="E1070">
        <v>170</v>
      </c>
      <c r="F1070">
        <v>182</v>
      </c>
      <c r="G1070" s="1">
        <v>45423</v>
      </c>
      <c r="H1070" t="s">
        <v>11</v>
      </c>
      <c r="I1070">
        <v>2024</v>
      </c>
      <c r="J1070">
        <v>5</v>
      </c>
    </row>
    <row r="1071" spans="1:10" x14ac:dyDescent="0.3">
      <c r="A1071">
        <v>433</v>
      </c>
      <c r="B1071">
        <v>34</v>
      </c>
      <c r="C1071">
        <v>3</v>
      </c>
      <c r="D1071">
        <v>10</v>
      </c>
      <c r="E1071">
        <v>30</v>
      </c>
      <c r="F1071">
        <v>264</v>
      </c>
      <c r="G1071" s="1">
        <v>45540</v>
      </c>
      <c r="H1071" t="s">
        <v>11</v>
      </c>
      <c r="I1071">
        <v>2024</v>
      </c>
      <c r="J1071">
        <v>9</v>
      </c>
    </row>
    <row r="1072" spans="1:10" x14ac:dyDescent="0.3">
      <c r="A1072">
        <v>433</v>
      </c>
      <c r="B1072">
        <v>28</v>
      </c>
      <c r="C1072">
        <v>1</v>
      </c>
      <c r="D1072">
        <v>27</v>
      </c>
      <c r="E1072">
        <v>27</v>
      </c>
      <c r="F1072">
        <v>264</v>
      </c>
      <c r="G1072" s="1">
        <v>45540</v>
      </c>
      <c r="H1072" t="s">
        <v>11</v>
      </c>
      <c r="I1072">
        <v>2024</v>
      </c>
      <c r="J1072">
        <v>9</v>
      </c>
    </row>
    <row r="1073" spans="1:10" x14ac:dyDescent="0.3">
      <c r="A1073">
        <v>433</v>
      </c>
      <c r="B1073">
        <v>31</v>
      </c>
      <c r="C1073">
        <v>2</v>
      </c>
      <c r="D1073">
        <v>88</v>
      </c>
      <c r="E1073">
        <v>176</v>
      </c>
      <c r="F1073">
        <v>264</v>
      </c>
      <c r="G1073" s="1">
        <v>45540</v>
      </c>
      <c r="H1073" t="s">
        <v>11</v>
      </c>
      <c r="I1073">
        <v>2024</v>
      </c>
      <c r="J1073">
        <v>9</v>
      </c>
    </row>
    <row r="1074" spans="1:10" x14ac:dyDescent="0.3">
      <c r="A1074">
        <v>181</v>
      </c>
      <c r="B1074">
        <v>43</v>
      </c>
      <c r="C1074">
        <v>4</v>
      </c>
      <c r="D1074">
        <v>57</v>
      </c>
      <c r="E1074">
        <v>228</v>
      </c>
      <c r="F1074">
        <v>160</v>
      </c>
      <c r="G1074" s="1">
        <v>45492</v>
      </c>
      <c r="H1074" t="s">
        <v>11</v>
      </c>
      <c r="I1074">
        <v>2024</v>
      </c>
      <c r="J1074">
        <v>7</v>
      </c>
    </row>
    <row r="1075" spans="1:10" x14ac:dyDescent="0.3">
      <c r="A1075">
        <v>181</v>
      </c>
      <c r="B1075">
        <v>19</v>
      </c>
      <c r="C1075">
        <v>2</v>
      </c>
      <c r="D1075">
        <v>55</v>
      </c>
      <c r="E1075">
        <v>110</v>
      </c>
      <c r="F1075">
        <v>160</v>
      </c>
      <c r="G1075" s="1">
        <v>45492</v>
      </c>
      <c r="H1075" t="s">
        <v>11</v>
      </c>
      <c r="I1075">
        <v>2024</v>
      </c>
      <c r="J1075">
        <v>7</v>
      </c>
    </row>
    <row r="1076" spans="1:10" x14ac:dyDescent="0.3">
      <c r="A1076">
        <v>181</v>
      </c>
      <c r="B1076">
        <v>47</v>
      </c>
      <c r="C1076">
        <v>5</v>
      </c>
      <c r="D1076">
        <v>42</v>
      </c>
      <c r="E1076">
        <v>210</v>
      </c>
      <c r="F1076">
        <v>160</v>
      </c>
      <c r="G1076" s="1">
        <v>45492</v>
      </c>
      <c r="H1076" t="s">
        <v>11</v>
      </c>
      <c r="I1076">
        <v>2024</v>
      </c>
      <c r="J1076">
        <v>7</v>
      </c>
    </row>
    <row r="1077" spans="1:10" x14ac:dyDescent="0.3">
      <c r="A1077">
        <v>181</v>
      </c>
      <c r="B1077">
        <v>15</v>
      </c>
      <c r="C1077">
        <v>1</v>
      </c>
      <c r="D1077">
        <v>18</v>
      </c>
      <c r="E1077">
        <v>18</v>
      </c>
      <c r="F1077">
        <v>160</v>
      </c>
      <c r="G1077" s="1">
        <v>45492</v>
      </c>
      <c r="H1077" t="s">
        <v>11</v>
      </c>
      <c r="I1077">
        <v>2024</v>
      </c>
      <c r="J1077">
        <v>7</v>
      </c>
    </row>
    <row r="1078" spans="1:10" x14ac:dyDescent="0.3">
      <c r="A1078">
        <v>581</v>
      </c>
      <c r="B1078">
        <v>36</v>
      </c>
      <c r="C1078">
        <v>3</v>
      </c>
      <c r="D1078">
        <v>53</v>
      </c>
      <c r="E1078">
        <v>159</v>
      </c>
      <c r="F1078">
        <v>145</v>
      </c>
      <c r="G1078" s="1">
        <v>45508</v>
      </c>
      <c r="H1078" t="s">
        <v>11</v>
      </c>
      <c r="I1078">
        <v>2024</v>
      </c>
      <c r="J1078">
        <v>8</v>
      </c>
    </row>
    <row r="1079" spans="1:10" x14ac:dyDescent="0.3">
      <c r="A1079">
        <v>254</v>
      </c>
      <c r="B1079">
        <v>39</v>
      </c>
      <c r="C1079">
        <v>5</v>
      </c>
      <c r="D1079">
        <v>83</v>
      </c>
      <c r="E1079">
        <v>415</v>
      </c>
      <c r="F1079">
        <v>238</v>
      </c>
      <c r="G1079" s="1">
        <v>45479</v>
      </c>
      <c r="H1079" t="s">
        <v>11</v>
      </c>
      <c r="I1079">
        <v>2024</v>
      </c>
      <c r="J1079">
        <v>7</v>
      </c>
    </row>
    <row r="1080" spans="1:10" x14ac:dyDescent="0.3">
      <c r="A1080">
        <v>254</v>
      </c>
      <c r="B1080">
        <v>42</v>
      </c>
      <c r="C1080">
        <v>1</v>
      </c>
      <c r="D1080">
        <v>68</v>
      </c>
      <c r="E1080">
        <v>68</v>
      </c>
      <c r="F1080">
        <v>238</v>
      </c>
      <c r="G1080" s="1">
        <v>45479</v>
      </c>
      <c r="H1080" t="s">
        <v>11</v>
      </c>
      <c r="I1080">
        <v>2024</v>
      </c>
      <c r="J1080">
        <v>7</v>
      </c>
    </row>
    <row r="1081" spans="1:10" x14ac:dyDescent="0.3">
      <c r="A1081">
        <v>830</v>
      </c>
      <c r="B1081">
        <v>38</v>
      </c>
      <c r="C1081">
        <v>4</v>
      </c>
      <c r="D1081">
        <v>78</v>
      </c>
      <c r="E1081">
        <v>312</v>
      </c>
      <c r="F1081">
        <v>261</v>
      </c>
      <c r="G1081" s="1">
        <v>45377</v>
      </c>
      <c r="H1081" t="s">
        <v>11</v>
      </c>
      <c r="I1081">
        <v>2024</v>
      </c>
      <c r="J1081">
        <v>3</v>
      </c>
    </row>
    <row r="1082" spans="1:10" x14ac:dyDescent="0.3">
      <c r="A1082">
        <v>830</v>
      </c>
      <c r="B1082">
        <v>29</v>
      </c>
      <c r="C1082">
        <v>4</v>
      </c>
      <c r="D1082">
        <v>20</v>
      </c>
      <c r="E1082">
        <v>80</v>
      </c>
      <c r="F1082">
        <v>261</v>
      </c>
      <c r="G1082" s="1">
        <v>45377</v>
      </c>
      <c r="H1082" t="s">
        <v>11</v>
      </c>
      <c r="I1082">
        <v>2024</v>
      </c>
      <c r="J1082">
        <v>3</v>
      </c>
    </row>
    <row r="1083" spans="1:10" x14ac:dyDescent="0.3">
      <c r="A1083">
        <v>830</v>
      </c>
      <c r="B1083">
        <v>18</v>
      </c>
      <c r="C1083">
        <v>2</v>
      </c>
      <c r="D1083">
        <v>51</v>
      </c>
      <c r="E1083">
        <v>102</v>
      </c>
      <c r="F1083">
        <v>261</v>
      </c>
      <c r="G1083" s="1">
        <v>45377</v>
      </c>
      <c r="H1083" t="s">
        <v>11</v>
      </c>
      <c r="I1083">
        <v>2024</v>
      </c>
      <c r="J1083">
        <v>3</v>
      </c>
    </row>
    <row r="1084" spans="1:10" x14ac:dyDescent="0.3">
      <c r="A1084">
        <v>830</v>
      </c>
      <c r="B1084">
        <v>4</v>
      </c>
      <c r="C1084">
        <v>5</v>
      </c>
      <c r="D1084">
        <v>78</v>
      </c>
      <c r="E1084">
        <v>390</v>
      </c>
      <c r="F1084">
        <v>261</v>
      </c>
      <c r="G1084" s="1">
        <v>45377</v>
      </c>
      <c r="H1084" t="s">
        <v>11</v>
      </c>
      <c r="I1084">
        <v>2024</v>
      </c>
      <c r="J1084">
        <v>3</v>
      </c>
    </row>
    <row r="1085" spans="1:10" x14ac:dyDescent="0.3">
      <c r="A1085">
        <v>680</v>
      </c>
      <c r="B1085">
        <v>20</v>
      </c>
      <c r="C1085">
        <v>2</v>
      </c>
      <c r="D1085">
        <v>83</v>
      </c>
      <c r="E1085">
        <v>166</v>
      </c>
      <c r="F1085">
        <v>249</v>
      </c>
      <c r="G1085" s="1">
        <v>45498</v>
      </c>
      <c r="H1085" t="s">
        <v>11</v>
      </c>
      <c r="I1085">
        <v>2024</v>
      </c>
      <c r="J1085">
        <v>7</v>
      </c>
    </row>
    <row r="1086" spans="1:10" x14ac:dyDescent="0.3">
      <c r="A1086">
        <v>680</v>
      </c>
      <c r="B1086">
        <v>4</v>
      </c>
      <c r="C1086">
        <v>4</v>
      </c>
      <c r="D1086">
        <v>72</v>
      </c>
      <c r="E1086">
        <v>288</v>
      </c>
      <c r="F1086">
        <v>249</v>
      </c>
      <c r="G1086" s="1">
        <v>45498</v>
      </c>
      <c r="H1086" t="s">
        <v>11</v>
      </c>
      <c r="I1086">
        <v>2024</v>
      </c>
      <c r="J1086">
        <v>7</v>
      </c>
    </row>
    <row r="1087" spans="1:10" x14ac:dyDescent="0.3">
      <c r="A1087">
        <v>680</v>
      </c>
      <c r="B1087">
        <v>29</v>
      </c>
      <c r="C1087">
        <v>4</v>
      </c>
      <c r="D1087">
        <v>32</v>
      </c>
      <c r="E1087">
        <v>128</v>
      </c>
      <c r="F1087">
        <v>249</v>
      </c>
      <c r="G1087" s="1">
        <v>45498</v>
      </c>
      <c r="H1087" t="s">
        <v>11</v>
      </c>
      <c r="I1087">
        <v>2024</v>
      </c>
      <c r="J1087">
        <v>7</v>
      </c>
    </row>
    <row r="1088" spans="1:10" x14ac:dyDescent="0.3">
      <c r="A1088">
        <v>934</v>
      </c>
      <c r="B1088">
        <v>37</v>
      </c>
      <c r="C1088">
        <v>4</v>
      </c>
      <c r="D1088">
        <v>39</v>
      </c>
      <c r="E1088">
        <v>156</v>
      </c>
      <c r="F1088">
        <v>210</v>
      </c>
      <c r="G1088" s="1">
        <v>45615</v>
      </c>
      <c r="H1088" t="s">
        <v>11</v>
      </c>
      <c r="I1088">
        <v>2024</v>
      </c>
      <c r="J1088">
        <v>11</v>
      </c>
    </row>
    <row r="1089" spans="1:10" x14ac:dyDescent="0.3">
      <c r="A1089">
        <v>934</v>
      </c>
      <c r="B1089">
        <v>21</v>
      </c>
      <c r="C1089">
        <v>5</v>
      </c>
      <c r="D1089">
        <v>18</v>
      </c>
      <c r="E1089">
        <v>90</v>
      </c>
      <c r="F1089">
        <v>210</v>
      </c>
      <c r="G1089" s="1">
        <v>45615</v>
      </c>
      <c r="H1089" t="s">
        <v>11</v>
      </c>
      <c r="I1089">
        <v>2024</v>
      </c>
      <c r="J1089">
        <v>11</v>
      </c>
    </row>
    <row r="1090" spans="1:10" x14ac:dyDescent="0.3">
      <c r="A1090">
        <v>85</v>
      </c>
      <c r="B1090">
        <v>22</v>
      </c>
      <c r="C1090">
        <v>4</v>
      </c>
      <c r="D1090">
        <v>82</v>
      </c>
      <c r="E1090">
        <v>328</v>
      </c>
      <c r="F1090">
        <v>231</v>
      </c>
      <c r="G1090" s="1">
        <v>45372</v>
      </c>
      <c r="H1090" t="s">
        <v>11</v>
      </c>
      <c r="I1090">
        <v>2024</v>
      </c>
      <c r="J1090">
        <v>3</v>
      </c>
    </row>
    <row r="1091" spans="1:10" x14ac:dyDescent="0.3">
      <c r="A1091">
        <v>317</v>
      </c>
      <c r="B1091">
        <v>4</v>
      </c>
      <c r="C1091">
        <v>1</v>
      </c>
      <c r="D1091">
        <v>119</v>
      </c>
      <c r="E1091">
        <v>119</v>
      </c>
      <c r="F1091">
        <v>264</v>
      </c>
      <c r="G1091" s="1">
        <v>45353</v>
      </c>
      <c r="H1091" t="s">
        <v>11</v>
      </c>
      <c r="I1091">
        <v>2024</v>
      </c>
      <c r="J1091">
        <v>3</v>
      </c>
    </row>
    <row r="1092" spans="1:10" x14ac:dyDescent="0.3">
      <c r="A1092">
        <v>317</v>
      </c>
      <c r="B1092">
        <v>28</v>
      </c>
      <c r="C1092">
        <v>1</v>
      </c>
      <c r="D1092">
        <v>42</v>
      </c>
      <c r="E1092">
        <v>42</v>
      </c>
      <c r="F1092">
        <v>264</v>
      </c>
      <c r="G1092" s="1">
        <v>45353</v>
      </c>
      <c r="H1092" t="s">
        <v>11</v>
      </c>
      <c r="I1092">
        <v>2024</v>
      </c>
      <c r="J1092">
        <v>3</v>
      </c>
    </row>
    <row r="1093" spans="1:10" x14ac:dyDescent="0.3">
      <c r="A1093">
        <v>317</v>
      </c>
      <c r="B1093">
        <v>45</v>
      </c>
      <c r="C1093">
        <v>4</v>
      </c>
      <c r="D1093">
        <v>85</v>
      </c>
      <c r="E1093">
        <v>340</v>
      </c>
      <c r="F1093">
        <v>264</v>
      </c>
      <c r="G1093" s="1">
        <v>45353</v>
      </c>
      <c r="H1093" t="s">
        <v>11</v>
      </c>
      <c r="I1093">
        <v>2024</v>
      </c>
      <c r="J1093">
        <v>3</v>
      </c>
    </row>
    <row r="1094" spans="1:10" x14ac:dyDescent="0.3">
      <c r="A1094">
        <v>212</v>
      </c>
      <c r="B1094">
        <v>29</v>
      </c>
      <c r="C1094">
        <v>4</v>
      </c>
      <c r="D1094">
        <v>40</v>
      </c>
      <c r="E1094">
        <v>160</v>
      </c>
      <c r="F1094">
        <v>252</v>
      </c>
      <c r="G1094" s="1">
        <v>45609</v>
      </c>
      <c r="H1094" t="s">
        <v>11</v>
      </c>
      <c r="I1094">
        <v>2024</v>
      </c>
      <c r="J1094">
        <v>11</v>
      </c>
    </row>
    <row r="1095" spans="1:10" x14ac:dyDescent="0.3">
      <c r="A1095">
        <v>212</v>
      </c>
      <c r="B1095">
        <v>4</v>
      </c>
      <c r="C1095">
        <v>3</v>
      </c>
      <c r="D1095">
        <v>77</v>
      </c>
      <c r="E1095">
        <v>231</v>
      </c>
      <c r="F1095">
        <v>252</v>
      </c>
      <c r="G1095" s="1">
        <v>45609</v>
      </c>
      <c r="H1095" t="s">
        <v>11</v>
      </c>
      <c r="I1095">
        <v>2024</v>
      </c>
      <c r="J1095">
        <v>11</v>
      </c>
    </row>
    <row r="1096" spans="1:10" x14ac:dyDescent="0.3">
      <c r="A1096">
        <v>212</v>
      </c>
      <c r="B1096">
        <v>8</v>
      </c>
      <c r="C1096">
        <v>2</v>
      </c>
      <c r="D1096">
        <v>91</v>
      </c>
      <c r="E1096">
        <v>182</v>
      </c>
      <c r="F1096">
        <v>252</v>
      </c>
      <c r="G1096" s="1">
        <v>45609</v>
      </c>
      <c r="H1096" t="s">
        <v>11</v>
      </c>
      <c r="I1096">
        <v>2024</v>
      </c>
      <c r="J1096">
        <v>11</v>
      </c>
    </row>
    <row r="1097" spans="1:10" x14ac:dyDescent="0.3">
      <c r="A1097">
        <v>515</v>
      </c>
      <c r="B1097">
        <v>44</v>
      </c>
      <c r="C1097">
        <v>4</v>
      </c>
      <c r="D1097">
        <v>51</v>
      </c>
      <c r="E1097">
        <v>204</v>
      </c>
      <c r="F1097">
        <v>136</v>
      </c>
      <c r="G1097" s="1">
        <v>45628</v>
      </c>
      <c r="H1097" t="s">
        <v>11</v>
      </c>
      <c r="I1097">
        <v>2024</v>
      </c>
      <c r="J1097">
        <v>12</v>
      </c>
    </row>
    <row r="1098" spans="1:10" x14ac:dyDescent="0.3">
      <c r="A1098">
        <v>515</v>
      </c>
      <c r="B1098">
        <v>12</v>
      </c>
      <c r="C1098">
        <v>5</v>
      </c>
      <c r="D1098">
        <v>95</v>
      </c>
      <c r="E1098">
        <v>475</v>
      </c>
      <c r="F1098">
        <v>136</v>
      </c>
      <c r="G1098" s="1">
        <v>45628</v>
      </c>
      <c r="H1098" t="s">
        <v>11</v>
      </c>
      <c r="I1098">
        <v>2024</v>
      </c>
      <c r="J1098">
        <v>12</v>
      </c>
    </row>
    <row r="1099" spans="1:10" x14ac:dyDescent="0.3">
      <c r="A1099">
        <v>515</v>
      </c>
      <c r="B1099">
        <v>6</v>
      </c>
      <c r="C1099">
        <v>4</v>
      </c>
      <c r="D1099">
        <v>117</v>
      </c>
      <c r="E1099">
        <v>468</v>
      </c>
      <c r="F1099">
        <v>136</v>
      </c>
      <c r="G1099" s="1">
        <v>45628</v>
      </c>
      <c r="H1099" t="s">
        <v>11</v>
      </c>
      <c r="I1099">
        <v>2024</v>
      </c>
      <c r="J1099">
        <v>12</v>
      </c>
    </row>
    <row r="1100" spans="1:10" x14ac:dyDescent="0.3">
      <c r="A1100">
        <v>384</v>
      </c>
      <c r="B1100">
        <v>34</v>
      </c>
      <c r="C1100">
        <v>2</v>
      </c>
      <c r="D1100">
        <v>77</v>
      </c>
      <c r="E1100">
        <v>154</v>
      </c>
      <c r="F1100">
        <v>220</v>
      </c>
      <c r="G1100" s="1">
        <v>45467</v>
      </c>
      <c r="H1100" t="s">
        <v>11</v>
      </c>
      <c r="I1100">
        <v>2024</v>
      </c>
      <c r="J1100">
        <v>6</v>
      </c>
    </row>
    <row r="1101" spans="1:10" x14ac:dyDescent="0.3">
      <c r="A1101">
        <v>384</v>
      </c>
      <c r="B1101">
        <v>13</v>
      </c>
      <c r="C1101">
        <v>4</v>
      </c>
      <c r="D1101">
        <v>107</v>
      </c>
      <c r="E1101">
        <v>428</v>
      </c>
      <c r="F1101">
        <v>220</v>
      </c>
      <c r="G1101" s="1">
        <v>45467</v>
      </c>
      <c r="H1101" t="s">
        <v>11</v>
      </c>
      <c r="I1101">
        <v>2024</v>
      </c>
      <c r="J1101">
        <v>6</v>
      </c>
    </row>
    <row r="1102" spans="1:10" x14ac:dyDescent="0.3">
      <c r="A1102">
        <v>384</v>
      </c>
      <c r="B1102">
        <v>39</v>
      </c>
      <c r="C1102">
        <v>1</v>
      </c>
      <c r="D1102">
        <v>89</v>
      </c>
      <c r="E1102">
        <v>89</v>
      </c>
      <c r="F1102">
        <v>220</v>
      </c>
      <c r="G1102" s="1">
        <v>45467</v>
      </c>
      <c r="H1102" t="s">
        <v>11</v>
      </c>
      <c r="I1102">
        <v>2024</v>
      </c>
      <c r="J1102">
        <v>6</v>
      </c>
    </row>
    <row r="1103" spans="1:10" x14ac:dyDescent="0.3">
      <c r="A1103">
        <v>342</v>
      </c>
      <c r="B1103">
        <v>42</v>
      </c>
      <c r="C1103">
        <v>4</v>
      </c>
      <c r="D1103">
        <v>70</v>
      </c>
      <c r="E1103">
        <v>280</v>
      </c>
      <c r="F1103">
        <v>196</v>
      </c>
      <c r="G1103" s="1">
        <v>45338</v>
      </c>
      <c r="H1103" t="s">
        <v>11</v>
      </c>
      <c r="I1103">
        <v>2024</v>
      </c>
      <c r="J1103">
        <v>2</v>
      </c>
    </row>
    <row r="1104" spans="1:10" x14ac:dyDescent="0.3">
      <c r="A1104">
        <v>844</v>
      </c>
      <c r="B1104">
        <v>7</v>
      </c>
      <c r="C1104">
        <v>1</v>
      </c>
      <c r="D1104">
        <v>99</v>
      </c>
      <c r="E1104">
        <v>99</v>
      </c>
      <c r="F1104">
        <v>236</v>
      </c>
      <c r="G1104" s="1">
        <v>45619</v>
      </c>
      <c r="H1104" t="s">
        <v>11</v>
      </c>
      <c r="I1104">
        <v>2024</v>
      </c>
      <c r="J1104">
        <v>11</v>
      </c>
    </row>
    <row r="1105" spans="1:10" x14ac:dyDescent="0.3">
      <c r="A1105">
        <v>844</v>
      </c>
      <c r="B1105">
        <v>30</v>
      </c>
      <c r="C1105">
        <v>5</v>
      </c>
      <c r="D1105">
        <v>41</v>
      </c>
      <c r="E1105">
        <v>205</v>
      </c>
      <c r="F1105">
        <v>236</v>
      </c>
      <c r="G1105" s="1">
        <v>45619</v>
      </c>
      <c r="H1105" t="s">
        <v>11</v>
      </c>
      <c r="I1105">
        <v>2024</v>
      </c>
      <c r="J1105">
        <v>11</v>
      </c>
    </row>
    <row r="1106" spans="1:10" x14ac:dyDescent="0.3">
      <c r="A1106">
        <v>844</v>
      </c>
      <c r="B1106">
        <v>12</v>
      </c>
      <c r="C1106">
        <v>4</v>
      </c>
      <c r="D1106">
        <v>59</v>
      </c>
      <c r="E1106">
        <v>236</v>
      </c>
      <c r="F1106">
        <v>236</v>
      </c>
      <c r="G1106" s="1">
        <v>45619</v>
      </c>
      <c r="H1106" t="s">
        <v>11</v>
      </c>
      <c r="I1106">
        <v>2024</v>
      </c>
      <c r="J1106">
        <v>11</v>
      </c>
    </row>
    <row r="1107" spans="1:10" x14ac:dyDescent="0.3">
      <c r="A1107">
        <v>38</v>
      </c>
      <c r="B1107">
        <v>4</v>
      </c>
      <c r="C1107">
        <v>1</v>
      </c>
      <c r="D1107">
        <v>112</v>
      </c>
      <c r="E1107">
        <v>112</v>
      </c>
      <c r="F1107">
        <v>89</v>
      </c>
      <c r="G1107" s="1">
        <v>45520</v>
      </c>
      <c r="H1107" t="s">
        <v>11</v>
      </c>
      <c r="I1107">
        <v>2024</v>
      </c>
      <c r="J1107">
        <v>8</v>
      </c>
    </row>
    <row r="1108" spans="1:10" x14ac:dyDescent="0.3">
      <c r="A1108">
        <v>38</v>
      </c>
      <c r="B1108">
        <v>28</v>
      </c>
      <c r="C1108">
        <v>1</v>
      </c>
      <c r="D1108">
        <v>67</v>
      </c>
      <c r="E1108">
        <v>67</v>
      </c>
      <c r="F1108">
        <v>89</v>
      </c>
      <c r="G1108" s="1">
        <v>45520</v>
      </c>
      <c r="H1108" t="s">
        <v>11</v>
      </c>
      <c r="I1108">
        <v>2024</v>
      </c>
      <c r="J1108">
        <v>8</v>
      </c>
    </row>
    <row r="1109" spans="1:10" x14ac:dyDescent="0.3">
      <c r="A1109">
        <v>38</v>
      </c>
      <c r="B1109">
        <v>41</v>
      </c>
      <c r="C1109">
        <v>1</v>
      </c>
      <c r="D1109">
        <v>42</v>
      </c>
      <c r="E1109">
        <v>42</v>
      </c>
      <c r="F1109">
        <v>89</v>
      </c>
      <c r="G1109" s="1">
        <v>45520</v>
      </c>
      <c r="H1109" t="s">
        <v>11</v>
      </c>
      <c r="I1109">
        <v>2024</v>
      </c>
      <c r="J1109">
        <v>8</v>
      </c>
    </row>
    <row r="1110" spans="1:10" x14ac:dyDescent="0.3">
      <c r="A1110">
        <v>511</v>
      </c>
      <c r="B1110">
        <v>19</v>
      </c>
      <c r="C1110">
        <v>4</v>
      </c>
      <c r="D1110">
        <v>26</v>
      </c>
      <c r="E1110">
        <v>104</v>
      </c>
      <c r="F1110">
        <v>194</v>
      </c>
      <c r="G1110" s="1">
        <v>45375</v>
      </c>
      <c r="H1110" t="s">
        <v>11</v>
      </c>
      <c r="I1110">
        <v>2024</v>
      </c>
      <c r="J1110">
        <v>3</v>
      </c>
    </row>
    <row r="1111" spans="1:10" x14ac:dyDescent="0.3">
      <c r="A1111">
        <v>511</v>
      </c>
      <c r="B1111">
        <v>5</v>
      </c>
      <c r="C1111">
        <v>1</v>
      </c>
      <c r="D1111">
        <v>53</v>
      </c>
      <c r="E1111">
        <v>53</v>
      </c>
      <c r="F1111">
        <v>194</v>
      </c>
      <c r="G1111" s="1">
        <v>45375</v>
      </c>
      <c r="H1111" t="s">
        <v>11</v>
      </c>
      <c r="I1111">
        <v>2024</v>
      </c>
      <c r="J1111">
        <v>3</v>
      </c>
    </row>
    <row r="1112" spans="1:10" x14ac:dyDescent="0.3">
      <c r="A1112">
        <v>511</v>
      </c>
      <c r="B1112">
        <v>20</v>
      </c>
      <c r="C1112">
        <v>5</v>
      </c>
      <c r="D1112">
        <v>30</v>
      </c>
      <c r="E1112">
        <v>150</v>
      </c>
      <c r="F1112">
        <v>194</v>
      </c>
      <c r="G1112" s="1">
        <v>45375</v>
      </c>
      <c r="H1112" t="s">
        <v>11</v>
      </c>
      <c r="I1112">
        <v>2024</v>
      </c>
      <c r="J1112">
        <v>3</v>
      </c>
    </row>
    <row r="1113" spans="1:10" x14ac:dyDescent="0.3">
      <c r="A1113">
        <v>420</v>
      </c>
      <c r="B1113">
        <v>42</v>
      </c>
      <c r="C1113">
        <v>2</v>
      </c>
      <c r="D1113">
        <v>28</v>
      </c>
      <c r="E1113">
        <v>56</v>
      </c>
      <c r="F1113">
        <v>268</v>
      </c>
      <c r="G1113" s="1">
        <v>45336</v>
      </c>
      <c r="H1113" t="s">
        <v>11</v>
      </c>
      <c r="I1113">
        <v>2024</v>
      </c>
      <c r="J1113">
        <v>2</v>
      </c>
    </row>
    <row r="1114" spans="1:10" x14ac:dyDescent="0.3">
      <c r="A1114">
        <v>420</v>
      </c>
      <c r="B1114">
        <v>36</v>
      </c>
      <c r="C1114">
        <v>3</v>
      </c>
      <c r="D1114">
        <v>78</v>
      </c>
      <c r="E1114">
        <v>234</v>
      </c>
      <c r="F1114">
        <v>268</v>
      </c>
      <c r="G1114" s="1">
        <v>45336</v>
      </c>
      <c r="H1114" t="s">
        <v>11</v>
      </c>
      <c r="I1114">
        <v>2024</v>
      </c>
      <c r="J1114">
        <v>2</v>
      </c>
    </row>
    <row r="1115" spans="1:10" x14ac:dyDescent="0.3">
      <c r="A1115">
        <v>420</v>
      </c>
      <c r="B1115">
        <v>33</v>
      </c>
      <c r="C1115">
        <v>3</v>
      </c>
      <c r="D1115">
        <v>72</v>
      </c>
      <c r="E1115">
        <v>216</v>
      </c>
      <c r="F1115">
        <v>268</v>
      </c>
      <c r="G1115" s="1">
        <v>45336</v>
      </c>
      <c r="H1115" t="s">
        <v>11</v>
      </c>
      <c r="I1115">
        <v>2024</v>
      </c>
      <c r="J1115">
        <v>2</v>
      </c>
    </row>
    <row r="1116" spans="1:10" x14ac:dyDescent="0.3">
      <c r="A1116">
        <v>420</v>
      </c>
      <c r="B1116">
        <v>14</v>
      </c>
      <c r="C1116">
        <v>4</v>
      </c>
      <c r="D1116">
        <v>104</v>
      </c>
      <c r="E1116">
        <v>416</v>
      </c>
      <c r="F1116">
        <v>268</v>
      </c>
      <c r="G1116" s="1">
        <v>45336</v>
      </c>
      <c r="H1116" t="s">
        <v>11</v>
      </c>
      <c r="I1116">
        <v>2024</v>
      </c>
      <c r="J1116">
        <v>2</v>
      </c>
    </row>
    <row r="1117" spans="1:10" x14ac:dyDescent="0.3">
      <c r="A1117">
        <v>751</v>
      </c>
      <c r="B1117">
        <v>30</v>
      </c>
      <c r="C1117">
        <v>5</v>
      </c>
      <c r="D1117">
        <v>60</v>
      </c>
      <c r="E1117">
        <v>300</v>
      </c>
      <c r="F1117">
        <v>273</v>
      </c>
      <c r="G1117" s="1">
        <v>45486</v>
      </c>
      <c r="H1117" t="s">
        <v>11</v>
      </c>
      <c r="I1117">
        <v>2024</v>
      </c>
      <c r="J1117">
        <v>7</v>
      </c>
    </row>
    <row r="1118" spans="1:10" x14ac:dyDescent="0.3">
      <c r="A1118">
        <v>751</v>
      </c>
      <c r="B1118">
        <v>41</v>
      </c>
      <c r="C1118">
        <v>2</v>
      </c>
      <c r="D1118">
        <v>30</v>
      </c>
      <c r="E1118">
        <v>60</v>
      </c>
      <c r="F1118">
        <v>273</v>
      </c>
      <c r="G1118" s="1">
        <v>45486</v>
      </c>
      <c r="H1118" t="s">
        <v>11</v>
      </c>
      <c r="I1118">
        <v>2024</v>
      </c>
      <c r="J1118">
        <v>7</v>
      </c>
    </row>
    <row r="1119" spans="1:10" x14ac:dyDescent="0.3">
      <c r="A1119">
        <v>751</v>
      </c>
      <c r="B1119">
        <v>24</v>
      </c>
      <c r="C1119">
        <v>3</v>
      </c>
      <c r="D1119">
        <v>21</v>
      </c>
      <c r="E1119">
        <v>63</v>
      </c>
      <c r="F1119">
        <v>273</v>
      </c>
      <c r="G1119" s="1">
        <v>45486</v>
      </c>
      <c r="H1119" t="s">
        <v>11</v>
      </c>
      <c r="I1119">
        <v>2024</v>
      </c>
      <c r="J1119">
        <v>7</v>
      </c>
    </row>
    <row r="1120" spans="1:10" x14ac:dyDescent="0.3">
      <c r="A1120">
        <v>169</v>
      </c>
      <c r="B1120">
        <v>31</v>
      </c>
      <c r="C1120">
        <v>4</v>
      </c>
      <c r="D1120">
        <v>79</v>
      </c>
      <c r="E1120">
        <v>316</v>
      </c>
      <c r="F1120">
        <v>113</v>
      </c>
      <c r="G1120" s="1">
        <v>45537</v>
      </c>
      <c r="H1120" t="s">
        <v>11</v>
      </c>
      <c r="I1120">
        <v>2024</v>
      </c>
      <c r="J1120">
        <v>9</v>
      </c>
    </row>
    <row r="1121" spans="1:10" x14ac:dyDescent="0.3">
      <c r="A1121">
        <v>965</v>
      </c>
      <c r="B1121">
        <v>35</v>
      </c>
      <c r="C1121">
        <v>2</v>
      </c>
      <c r="D1121">
        <v>72</v>
      </c>
      <c r="E1121">
        <v>144</v>
      </c>
      <c r="F1121">
        <v>90</v>
      </c>
      <c r="G1121" s="1">
        <v>45532</v>
      </c>
      <c r="H1121" t="s">
        <v>11</v>
      </c>
      <c r="I1121">
        <v>2024</v>
      </c>
      <c r="J1121">
        <v>8</v>
      </c>
    </row>
    <row r="1122" spans="1:10" x14ac:dyDescent="0.3">
      <c r="A1122">
        <v>965</v>
      </c>
      <c r="B1122">
        <v>9</v>
      </c>
      <c r="C1122">
        <v>5</v>
      </c>
      <c r="D1122">
        <v>91</v>
      </c>
      <c r="E1122">
        <v>455</v>
      </c>
      <c r="F1122">
        <v>90</v>
      </c>
      <c r="G1122" s="1">
        <v>45532</v>
      </c>
      <c r="H1122" t="s">
        <v>11</v>
      </c>
      <c r="I1122">
        <v>2024</v>
      </c>
      <c r="J1122">
        <v>8</v>
      </c>
    </row>
    <row r="1123" spans="1:10" x14ac:dyDescent="0.3">
      <c r="A1123">
        <v>826</v>
      </c>
      <c r="B1123">
        <v>19</v>
      </c>
      <c r="C1123">
        <v>4</v>
      </c>
      <c r="D1123">
        <v>89</v>
      </c>
      <c r="E1123">
        <v>356</v>
      </c>
      <c r="F1123">
        <v>259</v>
      </c>
      <c r="G1123" s="1">
        <v>45448</v>
      </c>
      <c r="H1123" t="s">
        <v>11</v>
      </c>
      <c r="I1123">
        <v>2024</v>
      </c>
      <c r="J1123">
        <v>6</v>
      </c>
    </row>
    <row r="1124" spans="1:10" x14ac:dyDescent="0.3">
      <c r="A1124">
        <v>826</v>
      </c>
      <c r="B1124">
        <v>24</v>
      </c>
      <c r="C1124">
        <v>5</v>
      </c>
      <c r="D1124">
        <v>53</v>
      </c>
      <c r="E1124">
        <v>265</v>
      </c>
      <c r="F1124">
        <v>259</v>
      </c>
      <c r="G1124" s="1">
        <v>45448</v>
      </c>
      <c r="H1124" t="s">
        <v>11</v>
      </c>
      <c r="I1124">
        <v>2024</v>
      </c>
      <c r="J1124">
        <v>6</v>
      </c>
    </row>
    <row r="1125" spans="1:10" x14ac:dyDescent="0.3">
      <c r="A1125">
        <v>306</v>
      </c>
      <c r="B1125">
        <v>31</v>
      </c>
      <c r="C1125">
        <v>2</v>
      </c>
      <c r="D1125">
        <v>39</v>
      </c>
      <c r="E1125">
        <v>78</v>
      </c>
      <c r="F1125">
        <v>299</v>
      </c>
      <c r="G1125" s="1">
        <v>45635</v>
      </c>
      <c r="H1125" t="s">
        <v>11</v>
      </c>
      <c r="I1125">
        <v>2024</v>
      </c>
      <c r="J1125">
        <v>12</v>
      </c>
    </row>
    <row r="1126" spans="1:10" x14ac:dyDescent="0.3">
      <c r="A1126">
        <v>702</v>
      </c>
      <c r="B1126">
        <v>2</v>
      </c>
      <c r="C1126">
        <v>2</v>
      </c>
      <c r="D1126">
        <v>113</v>
      </c>
      <c r="E1126">
        <v>226</v>
      </c>
      <c r="F1126">
        <v>233</v>
      </c>
      <c r="G1126" s="1">
        <v>45357</v>
      </c>
      <c r="H1126" t="s">
        <v>11</v>
      </c>
      <c r="I1126">
        <v>2024</v>
      </c>
      <c r="J1126">
        <v>3</v>
      </c>
    </row>
    <row r="1127" spans="1:10" x14ac:dyDescent="0.3">
      <c r="A1127">
        <v>537</v>
      </c>
      <c r="B1127">
        <v>2</v>
      </c>
      <c r="C1127">
        <v>2</v>
      </c>
      <c r="D1127">
        <v>80</v>
      </c>
      <c r="E1127">
        <v>160</v>
      </c>
      <c r="F1127">
        <v>1</v>
      </c>
      <c r="G1127" s="1">
        <v>45363</v>
      </c>
      <c r="H1127" t="s">
        <v>11</v>
      </c>
      <c r="I1127">
        <v>2024</v>
      </c>
      <c r="J1127">
        <v>3</v>
      </c>
    </row>
    <row r="1128" spans="1:10" x14ac:dyDescent="0.3">
      <c r="A1128">
        <v>537</v>
      </c>
      <c r="B1128">
        <v>26</v>
      </c>
      <c r="C1128">
        <v>3</v>
      </c>
      <c r="D1128">
        <v>46</v>
      </c>
      <c r="E1128">
        <v>138</v>
      </c>
      <c r="F1128">
        <v>1</v>
      </c>
      <c r="G1128" s="1">
        <v>45363</v>
      </c>
      <c r="H1128" t="s">
        <v>11</v>
      </c>
      <c r="I1128">
        <v>2024</v>
      </c>
      <c r="J1128">
        <v>3</v>
      </c>
    </row>
    <row r="1129" spans="1:10" x14ac:dyDescent="0.3">
      <c r="A1129">
        <v>537</v>
      </c>
      <c r="B1129">
        <v>3</v>
      </c>
      <c r="C1129">
        <v>4</v>
      </c>
      <c r="D1129">
        <v>27</v>
      </c>
      <c r="E1129">
        <v>108</v>
      </c>
      <c r="F1129">
        <v>1</v>
      </c>
      <c r="G1129" s="1">
        <v>45363</v>
      </c>
      <c r="H1129" t="s">
        <v>11</v>
      </c>
      <c r="I1129">
        <v>2024</v>
      </c>
      <c r="J1129">
        <v>3</v>
      </c>
    </row>
    <row r="1130" spans="1:10" x14ac:dyDescent="0.3">
      <c r="A1130">
        <v>411</v>
      </c>
      <c r="B1130">
        <v>24</v>
      </c>
      <c r="C1130">
        <v>4</v>
      </c>
      <c r="D1130">
        <v>65</v>
      </c>
      <c r="E1130">
        <v>260</v>
      </c>
      <c r="F1130">
        <v>247</v>
      </c>
      <c r="G1130" s="1">
        <v>45459</v>
      </c>
      <c r="H1130" t="s">
        <v>11</v>
      </c>
      <c r="I1130">
        <v>2024</v>
      </c>
      <c r="J1130">
        <v>6</v>
      </c>
    </row>
    <row r="1131" spans="1:10" x14ac:dyDescent="0.3">
      <c r="A1131">
        <v>206</v>
      </c>
      <c r="B1131">
        <v>32</v>
      </c>
      <c r="C1131">
        <v>3</v>
      </c>
      <c r="D1131">
        <v>98</v>
      </c>
      <c r="E1131">
        <v>294</v>
      </c>
      <c r="F1131">
        <v>129</v>
      </c>
      <c r="G1131" s="1">
        <v>45308</v>
      </c>
      <c r="H1131" t="s">
        <v>11</v>
      </c>
      <c r="I1131">
        <v>2024</v>
      </c>
      <c r="J1131">
        <v>1</v>
      </c>
    </row>
    <row r="1132" spans="1:10" x14ac:dyDescent="0.3">
      <c r="A1132">
        <v>206</v>
      </c>
      <c r="B1132">
        <v>7</v>
      </c>
      <c r="C1132">
        <v>4</v>
      </c>
      <c r="D1132">
        <v>25</v>
      </c>
      <c r="E1132">
        <v>100</v>
      </c>
      <c r="F1132">
        <v>129</v>
      </c>
      <c r="G1132" s="1">
        <v>45308</v>
      </c>
      <c r="H1132" t="s">
        <v>11</v>
      </c>
      <c r="I1132">
        <v>2024</v>
      </c>
      <c r="J1132">
        <v>1</v>
      </c>
    </row>
    <row r="1133" spans="1:10" x14ac:dyDescent="0.3">
      <c r="A1133">
        <v>206</v>
      </c>
      <c r="B1133">
        <v>39</v>
      </c>
      <c r="C1133">
        <v>2</v>
      </c>
      <c r="D1133">
        <v>14</v>
      </c>
      <c r="E1133">
        <v>28</v>
      </c>
      <c r="F1133">
        <v>129</v>
      </c>
      <c r="G1133" s="1">
        <v>45308</v>
      </c>
      <c r="H1133" t="s">
        <v>11</v>
      </c>
      <c r="I1133">
        <v>2024</v>
      </c>
      <c r="J1133">
        <v>1</v>
      </c>
    </row>
    <row r="1134" spans="1:10" x14ac:dyDescent="0.3">
      <c r="A1134">
        <v>206</v>
      </c>
      <c r="B1134">
        <v>36</v>
      </c>
      <c r="C1134">
        <v>3</v>
      </c>
      <c r="D1134">
        <v>78</v>
      </c>
      <c r="E1134">
        <v>234</v>
      </c>
      <c r="F1134">
        <v>129</v>
      </c>
      <c r="G1134" s="1">
        <v>45308</v>
      </c>
      <c r="H1134" t="s">
        <v>11</v>
      </c>
      <c r="I1134">
        <v>2024</v>
      </c>
      <c r="J1134">
        <v>1</v>
      </c>
    </row>
    <row r="1135" spans="1:10" x14ac:dyDescent="0.3">
      <c r="A1135">
        <v>185</v>
      </c>
      <c r="B1135">
        <v>16</v>
      </c>
      <c r="C1135">
        <v>4</v>
      </c>
      <c r="D1135">
        <v>28</v>
      </c>
      <c r="E1135">
        <v>112</v>
      </c>
      <c r="F1135">
        <v>184</v>
      </c>
      <c r="G1135" s="1">
        <v>45587</v>
      </c>
      <c r="H1135" t="s">
        <v>11</v>
      </c>
      <c r="I1135">
        <v>2024</v>
      </c>
      <c r="J1135">
        <v>10</v>
      </c>
    </row>
    <row r="1136" spans="1:10" x14ac:dyDescent="0.3">
      <c r="A1136">
        <v>185</v>
      </c>
      <c r="B1136">
        <v>33</v>
      </c>
      <c r="C1136">
        <v>4</v>
      </c>
      <c r="D1136">
        <v>66</v>
      </c>
      <c r="E1136">
        <v>264</v>
      </c>
      <c r="F1136">
        <v>184</v>
      </c>
      <c r="G1136" s="1">
        <v>45587</v>
      </c>
      <c r="H1136" t="s">
        <v>11</v>
      </c>
      <c r="I1136">
        <v>2024</v>
      </c>
      <c r="J1136">
        <v>10</v>
      </c>
    </row>
    <row r="1137" spans="1:10" x14ac:dyDescent="0.3">
      <c r="A1137">
        <v>185</v>
      </c>
      <c r="B1137">
        <v>2</v>
      </c>
      <c r="C1137">
        <v>5</v>
      </c>
      <c r="D1137">
        <v>69</v>
      </c>
      <c r="E1137">
        <v>345</v>
      </c>
      <c r="F1137">
        <v>184</v>
      </c>
      <c r="G1137" s="1">
        <v>45587</v>
      </c>
      <c r="H1137" t="s">
        <v>11</v>
      </c>
      <c r="I1137">
        <v>2024</v>
      </c>
      <c r="J1137">
        <v>10</v>
      </c>
    </row>
    <row r="1138" spans="1:10" x14ac:dyDescent="0.3">
      <c r="A1138">
        <v>382</v>
      </c>
      <c r="B1138">
        <v>16</v>
      </c>
      <c r="C1138">
        <v>3</v>
      </c>
      <c r="D1138">
        <v>40</v>
      </c>
      <c r="E1138">
        <v>120</v>
      </c>
      <c r="F1138">
        <v>185</v>
      </c>
      <c r="G1138" s="1">
        <v>45619</v>
      </c>
      <c r="H1138" t="s">
        <v>11</v>
      </c>
      <c r="I1138">
        <v>2024</v>
      </c>
      <c r="J1138">
        <v>11</v>
      </c>
    </row>
    <row r="1139" spans="1:10" x14ac:dyDescent="0.3">
      <c r="A1139">
        <v>382</v>
      </c>
      <c r="B1139">
        <v>18</v>
      </c>
      <c r="C1139">
        <v>1</v>
      </c>
      <c r="D1139">
        <v>32</v>
      </c>
      <c r="E1139">
        <v>32</v>
      </c>
      <c r="F1139">
        <v>185</v>
      </c>
      <c r="G1139" s="1">
        <v>45619</v>
      </c>
      <c r="H1139" t="s">
        <v>11</v>
      </c>
      <c r="I1139">
        <v>2024</v>
      </c>
      <c r="J1139">
        <v>11</v>
      </c>
    </row>
    <row r="1140" spans="1:10" x14ac:dyDescent="0.3">
      <c r="A1140">
        <v>379</v>
      </c>
      <c r="B1140">
        <v>39</v>
      </c>
      <c r="C1140">
        <v>2</v>
      </c>
      <c r="D1140">
        <v>51</v>
      </c>
      <c r="E1140">
        <v>102</v>
      </c>
      <c r="F1140">
        <v>154</v>
      </c>
      <c r="G1140" s="1">
        <v>45517</v>
      </c>
      <c r="H1140" t="s">
        <v>11</v>
      </c>
      <c r="I1140">
        <v>2024</v>
      </c>
      <c r="J1140">
        <v>8</v>
      </c>
    </row>
    <row r="1141" spans="1:10" x14ac:dyDescent="0.3">
      <c r="A1141">
        <v>379</v>
      </c>
      <c r="B1141">
        <v>49</v>
      </c>
      <c r="C1141">
        <v>4</v>
      </c>
      <c r="D1141">
        <v>64</v>
      </c>
      <c r="E1141">
        <v>256</v>
      </c>
      <c r="F1141">
        <v>154</v>
      </c>
      <c r="G1141" s="1">
        <v>45517</v>
      </c>
      <c r="H1141" t="s">
        <v>11</v>
      </c>
      <c r="I1141">
        <v>2024</v>
      </c>
      <c r="J1141">
        <v>8</v>
      </c>
    </row>
    <row r="1142" spans="1:10" x14ac:dyDescent="0.3">
      <c r="A1142">
        <v>47</v>
      </c>
      <c r="B1142">
        <v>31</v>
      </c>
      <c r="C1142">
        <v>5</v>
      </c>
      <c r="D1142">
        <v>50</v>
      </c>
      <c r="E1142">
        <v>250</v>
      </c>
      <c r="F1142">
        <v>81</v>
      </c>
      <c r="G1142" s="1">
        <v>45369</v>
      </c>
      <c r="H1142" t="s">
        <v>11</v>
      </c>
      <c r="I1142">
        <v>2024</v>
      </c>
      <c r="J1142">
        <v>3</v>
      </c>
    </row>
    <row r="1143" spans="1:10" x14ac:dyDescent="0.3">
      <c r="A1143">
        <v>47</v>
      </c>
      <c r="B1143">
        <v>9</v>
      </c>
      <c r="C1143">
        <v>5</v>
      </c>
      <c r="D1143">
        <v>99</v>
      </c>
      <c r="E1143">
        <v>495</v>
      </c>
      <c r="F1143">
        <v>81</v>
      </c>
      <c r="G1143" s="1">
        <v>45369</v>
      </c>
      <c r="H1143" t="s">
        <v>11</v>
      </c>
      <c r="I1143">
        <v>2024</v>
      </c>
      <c r="J1143">
        <v>3</v>
      </c>
    </row>
    <row r="1144" spans="1:10" x14ac:dyDescent="0.3">
      <c r="A1144">
        <v>551</v>
      </c>
      <c r="B1144">
        <v>1</v>
      </c>
      <c r="C1144">
        <v>2</v>
      </c>
      <c r="D1144">
        <v>56</v>
      </c>
      <c r="E1144">
        <v>112</v>
      </c>
      <c r="F1144">
        <v>252</v>
      </c>
      <c r="G1144" s="1">
        <v>45607</v>
      </c>
      <c r="H1144" t="s">
        <v>11</v>
      </c>
      <c r="I1144">
        <v>2024</v>
      </c>
      <c r="J1144">
        <v>11</v>
      </c>
    </row>
    <row r="1145" spans="1:10" x14ac:dyDescent="0.3">
      <c r="A1145">
        <v>213</v>
      </c>
      <c r="B1145">
        <v>7</v>
      </c>
      <c r="C1145">
        <v>2</v>
      </c>
      <c r="D1145">
        <v>75</v>
      </c>
      <c r="E1145">
        <v>150</v>
      </c>
      <c r="F1145">
        <v>144</v>
      </c>
      <c r="G1145" s="1">
        <v>45371</v>
      </c>
      <c r="H1145" t="s">
        <v>11</v>
      </c>
      <c r="I1145">
        <v>2024</v>
      </c>
      <c r="J1145">
        <v>3</v>
      </c>
    </row>
    <row r="1146" spans="1:10" x14ac:dyDescent="0.3">
      <c r="A1146">
        <v>213</v>
      </c>
      <c r="B1146">
        <v>14</v>
      </c>
      <c r="C1146">
        <v>4</v>
      </c>
      <c r="D1146">
        <v>67</v>
      </c>
      <c r="E1146">
        <v>268</v>
      </c>
      <c r="F1146">
        <v>144</v>
      </c>
      <c r="G1146" s="1">
        <v>45371</v>
      </c>
      <c r="H1146" t="s">
        <v>11</v>
      </c>
      <c r="I1146">
        <v>2024</v>
      </c>
      <c r="J1146">
        <v>3</v>
      </c>
    </row>
    <row r="1147" spans="1:10" x14ac:dyDescent="0.3">
      <c r="A1147">
        <v>310</v>
      </c>
      <c r="B1147">
        <v>26</v>
      </c>
      <c r="C1147">
        <v>3</v>
      </c>
      <c r="D1147">
        <v>25</v>
      </c>
      <c r="E1147">
        <v>75</v>
      </c>
      <c r="F1147">
        <v>170</v>
      </c>
      <c r="G1147" s="1">
        <v>45352</v>
      </c>
      <c r="H1147" t="s">
        <v>11</v>
      </c>
      <c r="I1147">
        <v>2024</v>
      </c>
      <c r="J1147">
        <v>3</v>
      </c>
    </row>
    <row r="1148" spans="1:10" x14ac:dyDescent="0.3">
      <c r="A1148">
        <v>968</v>
      </c>
      <c r="B1148">
        <v>50</v>
      </c>
      <c r="C1148">
        <v>2</v>
      </c>
      <c r="D1148">
        <v>37</v>
      </c>
      <c r="E1148">
        <v>74</v>
      </c>
      <c r="F1148">
        <v>210</v>
      </c>
      <c r="G1148" s="1">
        <v>45375</v>
      </c>
      <c r="H1148" t="s">
        <v>11</v>
      </c>
      <c r="I1148">
        <v>2024</v>
      </c>
      <c r="J1148">
        <v>3</v>
      </c>
    </row>
    <row r="1149" spans="1:10" x14ac:dyDescent="0.3">
      <c r="A1149">
        <v>968</v>
      </c>
      <c r="B1149">
        <v>39</v>
      </c>
      <c r="C1149">
        <v>4</v>
      </c>
      <c r="D1149">
        <v>32</v>
      </c>
      <c r="E1149">
        <v>128</v>
      </c>
      <c r="F1149">
        <v>210</v>
      </c>
      <c r="G1149" s="1">
        <v>45375</v>
      </c>
      <c r="H1149" t="s">
        <v>11</v>
      </c>
      <c r="I1149">
        <v>2024</v>
      </c>
      <c r="J1149">
        <v>3</v>
      </c>
    </row>
    <row r="1150" spans="1:10" x14ac:dyDescent="0.3">
      <c r="A1150">
        <v>799</v>
      </c>
      <c r="B1150">
        <v>33</v>
      </c>
      <c r="C1150">
        <v>4</v>
      </c>
      <c r="D1150">
        <v>86</v>
      </c>
      <c r="E1150">
        <v>344</v>
      </c>
      <c r="F1150">
        <v>220</v>
      </c>
      <c r="G1150" s="1">
        <v>45567</v>
      </c>
      <c r="H1150" t="s">
        <v>11</v>
      </c>
      <c r="I1150">
        <v>2024</v>
      </c>
      <c r="J1150">
        <v>10</v>
      </c>
    </row>
    <row r="1151" spans="1:10" x14ac:dyDescent="0.3">
      <c r="A1151">
        <v>799</v>
      </c>
      <c r="B1151">
        <v>35</v>
      </c>
      <c r="C1151">
        <v>2</v>
      </c>
      <c r="D1151">
        <v>32</v>
      </c>
      <c r="E1151">
        <v>64</v>
      </c>
      <c r="F1151">
        <v>220</v>
      </c>
      <c r="G1151" s="1">
        <v>45567</v>
      </c>
      <c r="H1151" t="s">
        <v>11</v>
      </c>
      <c r="I1151">
        <v>2024</v>
      </c>
      <c r="J1151">
        <v>10</v>
      </c>
    </row>
    <row r="1152" spans="1:10" x14ac:dyDescent="0.3">
      <c r="A1152">
        <v>202</v>
      </c>
      <c r="B1152">
        <v>28</v>
      </c>
      <c r="C1152">
        <v>1</v>
      </c>
      <c r="D1152">
        <v>94</v>
      </c>
      <c r="E1152">
        <v>94</v>
      </c>
      <c r="F1152">
        <v>148</v>
      </c>
      <c r="G1152" s="1">
        <v>45566</v>
      </c>
      <c r="H1152" t="s">
        <v>11</v>
      </c>
      <c r="I1152">
        <v>2024</v>
      </c>
      <c r="J1152">
        <v>10</v>
      </c>
    </row>
    <row r="1153" spans="1:10" x14ac:dyDescent="0.3">
      <c r="A1153">
        <v>202</v>
      </c>
      <c r="B1153">
        <v>3</v>
      </c>
      <c r="C1153">
        <v>5</v>
      </c>
      <c r="D1153">
        <v>74</v>
      </c>
      <c r="E1153">
        <v>370</v>
      </c>
      <c r="F1153">
        <v>148</v>
      </c>
      <c r="G1153" s="1">
        <v>45566</v>
      </c>
      <c r="H1153" t="s">
        <v>11</v>
      </c>
      <c r="I1153">
        <v>2024</v>
      </c>
      <c r="J1153">
        <v>10</v>
      </c>
    </row>
    <row r="1154" spans="1:10" x14ac:dyDescent="0.3">
      <c r="A1154">
        <v>32</v>
      </c>
      <c r="B1154">
        <v>32</v>
      </c>
      <c r="C1154">
        <v>5</v>
      </c>
      <c r="D1154">
        <v>41</v>
      </c>
      <c r="E1154">
        <v>205</v>
      </c>
      <c r="F1154">
        <v>244</v>
      </c>
      <c r="G1154" s="1">
        <v>45614</v>
      </c>
      <c r="H1154" t="s">
        <v>11</v>
      </c>
      <c r="I1154">
        <v>2024</v>
      </c>
      <c r="J1154">
        <v>11</v>
      </c>
    </row>
    <row r="1155" spans="1:10" x14ac:dyDescent="0.3">
      <c r="A1155">
        <v>32</v>
      </c>
      <c r="B1155">
        <v>10</v>
      </c>
      <c r="C1155">
        <v>3</v>
      </c>
      <c r="D1155">
        <v>74</v>
      </c>
      <c r="E1155">
        <v>222</v>
      </c>
      <c r="F1155">
        <v>244</v>
      </c>
      <c r="G1155" s="1">
        <v>45614</v>
      </c>
      <c r="H1155" t="s">
        <v>11</v>
      </c>
      <c r="I1155">
        <v>2024</v>
      </c>
      <c r="J1155">
        <v>11</v>
      </c>
    </row>
    <row r="1156" spans="1:10" x14ac:dyDescent="0.3">
      <c r="A1156">
        <v>443</v>
      </c>
      <c r="B1156">
        <v>1</v>
      </c>
      <c r="C1156">
        <v>2</v>
      </c>
      <c r="D1156">
        <v>63</v>
      </c>
      <c r="E1156">
        <v>126</v>
      </c>
      <c r="F1156">
        <v>249</v>
      </c>
      <c r="G1156" s="1">
        <v>45497</v>
      </c>
      <c r="H1156" t="s">
        <v>11</v>
      </c>
      <c r="I1156">
        <v>2024</v>
      </c>
      <c r="J1156">
        <v>7</v>
      </c>
    </row>
    <row r="1157" spans="1:10" x14ac:dyDescent="0.3">
      <c r="A1157">
        <v>443</v>
      </c>
      <c r="B1157">
        <v>7</v>
      </c>
      <c r="C1157">
        <v>5</v>
      </c>
      <c r="D1157">
        <v>42</v>
      </c>
      <c r="E1157">
        <v>210</v>
      </c>
      <c r="F1157">
        <v>249</v>
      </c>
      <c r="G1157" s="1">
        <v>45497</v>
      </c>
      <c r="H1157" t="s">
        <v>11</v>
      </c>
      <c r="I1157">
        <v>2024</v>
      </c>
      <c r="J1157">
        <v>7</v>
      </c>
    </row>
    <row r="1158" spans="1:10" x14ac:dyDescent="0.3">
      <c r="A1158">
        <v>443</v>
      </c>
      <c r="B1158">
        <v>4</v>
      </c>
      <c r="C1158">
        <v>3</v>
      </c>
      <c r="D1158">
        <v>19</v>
      </c>
      <c r="E1158">
        <v>57</v>
      </c>
      <c r="F1158">
        <v>249</v>
      </c>
      <c r="G1158" s="1">
        <v>45497</v>
      </c>
      <c r="H1158" t="s">
        <v>11</v>
      </c>
      <c r="I1158">
        <v>2024</v>
      </c>
      <c r="J1158">
        <v>7</v>
      </c>
    </row>
    <row r="1159" spans="1:10" x14ac:dyDescent="0.3">
      <c r="A1159">
        <v>767</v>
      </c>
      <c r="B1159">
        <v>28</v>
      </c>
      <c r="C1159">
        <v>2</v>
      </c>
      <c r="D1159">
        <v>81</v>
      </c>
      <c r="E1159">
        <v>162</v>
      </c>
      <c r="F1159">
        <v>228</v>
      </c>
      <c r="G1159" s="1">
        <v>45355</v>
      </c>
      <c r="H1159" t="s">
        <v>11</v>
      </c>
      <c r="I1159">
        <v>2024</v>
      </c>
      <c r="J1159">
        <v>3</v>
      </c>
    </row>
    <row r="1160" spans="1:10" x14ac:dyDescent="0.3">
      <c r="A1160">
        <v>767</v>
      </c>
      <c r="B1160">
        <v>3</v>
      </c>
      <c r="C1160">
        <v>2</v>
      </c>
      <c r="D1160">
        <v>16</v>
      </c>
      <c r="E1160">
        <v>32</v>
      </c>
      <c r="F1160">
        <v>228</v>
      </c>
      <c r="G1160" s="1">
        <v>45355</v>
      </c>
      <c r="H1160" t="s">
        <v>11</v>
      </c>
      <c r="I1160">
        <v>2024</v>
      </c>
      <c r="J1160">
        <v>3</v>
      </c>
    </row>
    <row r="1161" spans="1:10" x14ac:dyDescent="0.3">
      <c r="A1161">
        <v>521</v>
      </c>
      <c r="B1161">
        <v>7</v>
      </c>
      <c r="C1161">
        <v>4</v>
      </c>
      <c r="D1161">
        <v>50</v>
      </c>
      <c r="E1161">
        <v>200</v>
      </c>
      <c r="F1161">
        <v>252</v>
      </c>
      <c r="G1161" s="1">
        <v>45375</v>
      </c>
      <c r="H1161" t="s">
        <v>11</v>
      </c>
      <c r="I1161">
        <v>2024</v>
      </c>
      <c r="J1161">
        <v>3</v>
      </c>
    </row>
    <row r="1162" spans="1:10" x14ac:dyDescent="0.3">
      <c r="A1162">
        <v>480</v>
      </c>
      <c r="B1162">
        <v>24</v>
      </c>
      <c r="C1162">
        <v>2</v>
      </c>
      <c r="D1162">
        <v>105</v>
      </c>
      <c r="E1162">
        <v>210</v>
      </c>
      <c r="F1162">
        <v>25</v>
      </c>
      <c r="G1162" s="1">
        <v>45313</v>
      </c>
      <c r="H1162" t="s">
        <v>11</v>
      </c>
      <c r="I1162">
        <v>2024</v>
      </c>
      <c r="J1162">
        <v>1</v>
      </c>
    </row>
    <row r="1163" spans="1:10" x14ac:dyDescent="0.3">
      <c r="A1163">
        <v>480</v>
      </c>
      <c r="B1163">
        <v>30</v>
      </c>
      <c r="C1163">
        <v>4</v>
      </c>
      <c r="D1163">
        <v>105</v>
      </c>
      <c r="E1163">
        <v>420</v>
      </c>
      <c r="F1163">
        <v>25</v>
      </c>
      <c r="G1163" s="1">
        <v>45313</v>
      </c>
      <c r="H1163" t="s">
        <v>11</v>
      </c>
      <c r="I1163">
        <v>2024</v>
      </c>
      <c r="J1163">
        <v>1</v>
      </c>
    </row>
    <row r="1164" spans="1:10" x14ac:dyDescent="0.3">
      <c r="A1164">
        <v>480</v>
      </c>
      <c r="B1164">
        <v>9</v>
      </c>
      <c r="C1164">
        <v>2</v>
      </c>
      <c r="D1164">
        <v>42</v>
      </c>
      <c r="E1164">
        <v>84</v>
      </c>
      <c r="F1164">
        <v>25</v>
      </c>
      <c r="G1164" s="1">
        <v>45313</v>
      </c>
      <c r="H1164" t="s">
        <v>11</v>
      </c>
      <c r="I1164">
        <v>2024</v>
      </c>
      <c r="J1164">
        <v>1</v>
      </c>
    </row>
    <row r="1165" spans="1:10" x14ac:dyDescent="0.3">
      <c r="A1165">
        <v>480</v>
      </c>
      <c r="B1165">
        <v>19</v>
      </c>
      <c r="C1165">
        <v>2</v>
      </c>
      <c r="D1165">
        <v>25</v>
      </c>
      <c r="E1165">
        <v>50</v>
      </c>
      <c r="F1165">
        <v>25</v>
      </c>
      <c r="G1165" s="1">
        <v>45313</v>
      </c>
      <c r="H1165" t="s">
        <v>11</v>
      </c>
      <c r="I1165">
        <v>2024</v>
      </c>
      <c r="J1165">
        <v>1</v>
      </c>
    </row>
    <row r="1166" spans="1:10" x14ac:dyDescent="0.3">
      <c r="A1166">
        <v>480</v>
      </c>
      <c r="B1166">
        <v>45</v>
      </c>
      <c r="C1166">
        <v>5</v>
      </c>
      <c r="D1166">
        <v>78</v>
      </c>
      <c r="E1166">
        <v>390</v>
      </c>
      <c r="F1166">
        <v>25</v>
      </c>
      <c r="G1166" s="1">
        <v>45313</v>
      </c>
      <c r="H1166" t="s">
        <v>11</v>
      </c>
      <c r="I1166">
        <v>2024</v>
      </c>
      <c r="J1166">
        <v>1</v>
      </c>
    </row>
    <row r="1167" spans="1:10" x14ac:dyDescent="0.3">
      <c r="A1167">
        <v>436</v>
      </c>
      <c r="B1167">
        <v>50</v>
      </c>
      <c r="C1167">
        <v>3</v>
      </c>
      <c r="D1167">
        <v>114</v>
      </c>
      <c r="E1167">
        <v>342</v>
      </c>
      <c r="F1167">
        <v>115</v>
      </c>
      <c r="G1167" s="1">
        <v>45451</v>
      </c>
      <c r="H1167" t="s">
        <v>11</v>
      </c>
      <c r="I1167">
        <v>2024</v>
      </c>
      <c r="J1167">
        <v>6</v>
      </c>
    </row>
    <row r="1168" spans="1:10" x14ac:dyDescent="0.3">
      <c r="A1168">
        <v>436</v>
      </c>
      <c r="B1168">
        <v>50</v>
      </c>
      <c r="C1168">
        <v>4</v>
      </c>
      <c r="D1168">
        <v>106</v>
      </c>
      <c r="E1168">
        <v>424</v>
      </c>
      <c r="F1168">
        <v>115</v>
      </c>
      <c r="G1168" s="1">
        <v>45451</v>
      </c>
      <c r="H1168" t="s">
        <v>11</v>
      </c>
      <c r="I1168">
        <v>2024</v>
      </c>
      <c r="J1168">
        <v>6</v>
      </c>
    </row>
    <row r="1169" spans="1:10" x14ac:dyDescent="0.3">
      <c r="A1169">
        <v>81</v>
      </c>
      <c r="B1169">
        <v>2</v>
      </c>
      <c r="C1169">
        <v>1</v>
      </c>
      <c r="D1169">
        <v>89</v>
      </c>
      <c r="E1169">
        <v>89</v>
      </c>
      <c r="F1169">
        <v>81</v>
      </c>
      <c r="G1169" s="1">
        <v>45646</v>
      </c>
      <c r="H1169" t="s">
        <v>11</v>
      </c>
      <c r="I1169">
        <v>2024</v>
      </c>
      <c r="J1169">
        <v>12</v>
      </c>
    </row>
    <row r="1170" spans="1:10" x14ac:dyDescent="0.3">
      <c r="A1170">
        <v>194</v>
      </c>
      <c r="B1170">
        <v>28</v>
      </c>
      <c r="C1170">
        <v>1</v>
      </c>
      <c r="D1170">
        <v>50</v>
      </c>
      <c r="E1170">
        <v>50</v>
      </c>
      <c r="F1170">
        <v>97</v>
      </c>
      <c r="G1170" s="1">
        <v>45582</v>
      </c>
      <c r="H1170" t="s">
        <v>11</v>
      </c>
      <c r="I1170">
        <v>2024</v>
      </c>
      <c r="J1170">
        <v>10</v>
      </c>
    </row>
    <row r="1171" spans="1:10" x14ac:dyDescent="0.3">
      <c r="A1171">
        <v>194</v>
      </c>
      <c r="B1171">
        <v>23</v>
      </c>
      <c r="C1171">
        <v>3</v>
      </c>
      <c r="D1171">
        <v>80</v>
      </c>
      <c r="E1171">
        <v>240</v>
      </c>
      <c r="F1171">
        <v>97</v>
      </c>
      <c r="G1171" s="1">
        <v>45582</v>
      </c>
      <c r="H1171" t="s">
        <v>11</v>
      </c>
      <c r="I1171">
        <v>2024</v>
      </c>
      <c r="J1171">
        <v>10</v>
      </c>
    </row>
    <row r="1172" spans="1:10" x14ac:dyDescent="0.3">
      <c r="A1172">
        <v>783</v>
      </c>
      <c r="B1172">
        <v>32</v>
      </c>
      <c r="C1172">
        <v>2</v>
      </c>
      <c r="D1172">
        <v>38</v>
      </c>
      <c r="E1172">
        <v>76</v>
      </c>
      <c r="F1172">
        <v>277</v>
      </c>
      <c r="G1172" s="1">
        <v>45421</v>
      </c>
      <c r="H1172" t="s">
        <v>11</v>
      </c>
      <c r="I1172">
        <v>2024</v>
      </c>
      <c r="J1172">
        <v>5</v>
      </c>
    </row>
    <row r="1173" spans="1:10" x14ac:dyDescent="0.3">
      <c r="A1173">
        <v>783</v>
      </c>
      <c r="B1173">
        <v>36</v>
      </c>
      <c r="C1173">
        <v>2</v>
      </c>
      <c r="D1173">
        <v>44</v>
      </c>
      <c r="E1173">
        <v>88</v>
      </c>
      <c r="F1173">
        <v>277</v>
      </c>
      <c r="G1173" s="1">
        <v>45421</v>
      </c>
      <c r="H1173" t="s">
        <v>11</v>
      </c>
      <c r="I1173">
        <v>2024</v>
      </c>
      <c r="J1173">
        <v>5</v>
      </c>
    </row>
    <row r="1174" spans="1:10" x14ac:dyDescent="0.3">
      <c r="A1174">
        <v>783</v>
      </c>
      <c r="B1174">
        <v>6</v>
      </c>
      <c r="C1174">
        <v>5</v>
      </c>
      <c r="D1174">
        <v>95</v>
      </c>
      <c r="E1174">
        <v>475</v>
      </c>
      <c r="F1174">
        <v>277</v>
      </c>
      <c r="G1174" s="1">
        <v>45421</v>
      </c>
      <c r="H1174" t="s">
        <v>11</v>
      </c>
      <c r="I1174">
        <v>2024</v>
      </c>
      <c r="J1174">
        <v>5</v>
      </c>
    </row>
    <row r="1175" spans="1:10" x14ac:dyDescent="0.3">
      <c r="A1175">
        <v>783</v>
      </c>
      <c r="B1175">
        <v>1</v>
      </c>
      <c r="C1175">
        <v>4</v>
      </c>
      <c r="D1175">
        <v>11</v>
      </c>
      <c r="E1175">
        <v>44</v>
      </c>
      <c r="F1175">
        <v>277</v>
      </c>
      <c r="G1175" s="1">
        <v>45421</v>
      </c>
      <c r="H1175" t="s">
        <v>11</v>
      </c>
      <c r="I1175">
        <v>2024</v>
      </c>
      <c r="J1175">
        <v>5</v>
      </c>
    </row>
    <row r="1176" spans="1:10" x14ac:dyDescent="0.3">
      <c r="A1176">
        <v>423</v>
      </c>
      <c r="B1176">
        <v>42</v>
      </c>
      <c r="C1176">
        <v>5</v>
      </c>
      <c r="D1176">
        <v>29</v>
      </c>
      <c r="E1176">
        <v>145</v>
      </c>
      <c r="F1176">
        <v>43</v>
      </c>
      <c r="G1176" s="1">
        <v>45461</v>
      </c>
      <c r="H1176" t="s">
        <v>11</v>
      </c>
      <c r="I1176">
        <v>2024</v>
      </c>
      <c r="J1176">
        <v>6</v>
      </c>
    </row>
    <row r="1177" spans="1:10" x14ac:dyDescent="0.3">
      <c r="A1177">
        <v>891</v>
      </c>
      <c r="B1177">
        <v>40</v>
      </c>
      <c r="C1177">
        <v>4</v>
      </c>
      <c r="D1177">
        <v>23</v>
      </c>
      <c r="E1177">
        <v>92</v>
      </c>
      <c r="F1177">
        <v>231</v>
      </c>
      <c r="G1177" s="1">
        <v>45607</v>
      </c>
      <c r="H1177" t="s">
        <v>11</v>
      </c>
      <c r="I1177">
        <v>2024</v>
      </c>
      <c r="J1177">
        <v>11</v>
      </c>
    </row>
    <row r="1178" spans="1:10" x14ac:dyDescent="0.3">
      <c r="A1178">
        <v>891</v>
      </c>
      <c r="B1178">
        <v>45</v>
      </c>
      <c r="C1178">
        <v>1</v>
      </c>
      <c r="D1178">
        <v>95</v>
      </c>
      <c r="E1178">
        <v>95</v>
      </c>
      <c r="F1178">
        <v>231</v>
      </c>
      <c r="G1178" s="1">
        <v>45607</v>
      </c>
      <c r="H1178" t="s">
        <v>11</v>
      </c>
      <c r="I1178">
        <v>2024</v>
      </c>
      <c r="J1178">
        <v>11</v>
      </c>
    </row>
    <row r="1179" spans="1:10" x14ac:dyDescent="0.3">
      <c r="A1179">
        <v>891</v>
      </c>
      <c r="B1179">
        <v>27</v>
      </c>
      <c r="C1179">
        <v>2</v>
      </c>
      <c r="D1179">
        <v>53</v>
      </c>
      <c r="E1179">
        <v>106</v>
      </c>
      <c r="F1179">
        <v>231</v>
      </c>
      <c r="G1179" s="1">
        <v>45607</v>
      </c>
      <c r="H1179" t="s">
        <v>11</v>
      </c>
      <c r="I1179">
        <v>2024</v>
      </c>
      <c r="J1179">
        <v>11</v>
      </c>
    </row>
    <row r="1180" spans="1:10" x14ac:dyDescent="0.3">
      <c r="A1180">
        <v>891</v>
      </c>
      <c r="B1180">
        <v>32</v>
      </c>
      <c r="C1180">
        <v>3</v>
      </c>
      <c r="D1180">
        <v>34</v>
      </c>
      <c r="E1180">
        <v>102</v>
      </c>
      <c r="F1180">
        <v>231</v>
      </c>
      <c r="G1180" s="1">
        <v>45607</v>
      </c>
      <c r="H1180" t="s">
        <v>11</v>
      </c>
      <c r="I1180">
        <v>2024</v>
      </c>
      <c r="J1180">
        <v>11</v>
      </c>
    </row>
    <row r="1181" spans="1:10" x14ac:dyDescent="0.3">
      <c r="A1181">
        <v>1</v>
      </c>
      <c r="B1181">
        <v>13</v>
      </c>
      <c r="C1181">
        <v>4</v>
      </c>
      <c r="D1181">
        <v>58</v>
      </c>
      <c r="E1181">
        <v>232</v>
      </c>
      <c r="F1181">
        <v>103</v>
      </c>
      <c r="G1181" s="1">
        <v>45596</v>
      </c>
      <c r="H1181" t="s">
        <v>11</v>
      </c>
      <c r="I1181">
        <v>2024</v>
      </c>
      <c r="J1181">
        <v>10</v>
      </c>
    </row>
    <row r="1182" spans="1:10" x14ac:dyDescent="0.3">
      <c r="A1182">
        <v>407</v>
      </c>
      <c r="B1182">
        <v>41</v>
      </c>
      <c r="C1182">
        <v>4</v>
      </c>
      <c r="D1182">
        <v>63</v>
      </c>
      <c r="E1182">
        <v>252</v>
      </c>
      <c r="F1182">
        <v>257</v>
      </c>
      <c r="G1182" s="1">
        <v>45553</v>
      </c>
      <c r="H1182" t="s">
        <v>11</v>
      </c>
      <c r="I1182">
        <v>2024</v>
      </c>
      <c r="J1182">
        <v>9</v>
      </c>
    </row>
    <row r="1183" spans="1:10" x14ac:dyDescent="0.3">
      <c r="A1183">
        <v>167</v>
      </c>
      <c r="B1183">
        <v>47</v>
      </c>
      <c r="C1183">
        <v>3</v>
      </c>
      <c r="D1183">
        <v>67</v>
      </c>
      <c r="E1183">
        <v>201</v>
      </c>
      <c r="F1183">
        <v>81</v>
      </c>
      <c r="G1183" s="1">
        <v>45402</v>
      </c>
      <c r="H1183" t="s">
        <v>11</v>
      </c>
      <c r="I1183">
        <v>2024</v>
      </c>
      <c r="J1183">
        <v>4</v>
      </c>
    </row>
    <row r="1184" spans="1:10" x14ac:dyDescent="0.3">
      <c r="A1184">
        <v>418</v>
      </c>
      <c r="B1184">
        <v>20</v>
      </c>
      <c r="C1184">
        <v>4</v>
      </c>
      <c r="D1184">
        <v>39</v>
      </c>
      <c r="E1184">
        <v>156</v>
      </c>
      <c r="F1184">
        <v>179</v>
      </c>
      <c r="G1184" s="1">
        <v>45560</v>
      </c>
      <c r="H1184" t="s">
        <v>11</v>
      </c>
      <c r="I1184">
        <v>2024</v>
      </c>
      <c r="J1184">
        <v>9</v>
      </c>
    </row>
    <row r="1185" spans="1:10" x14ac:dyDescent="0.3">
      <c r="A1185">
        <v>763</v>
      </c>
      <c r="B1185">
        <v>50</v>
      </c>
      <c r="C1185">
        <v>2</v>
      </c>
      <c r="D1185">
        <v>34</v>
      </c>
      <c r="E1185">
        <v>68</v>
      </c>
      <c r="F1185">
        <v>233</v>
      </c>
      <c r="G1185" s="1">
        <v>45555</v>
      </c>
      <c r="H1185" t="s">
        <v>11</v>
      </c>
      <c r="I1185">
        <v>2024</v>
      </c>
      <c r="J1185">
        <v>9</v>
      </c>
    </row>
    <row r="1186" spans="1:10" x14ac:dyDescent="0.3">
      <c r="A1186">
        <v>763</v>
      </c>
      <c r="B1186">
        <v>34</v>
      </c>
      <c r="C1186">
        <v>2</v>
      </c>
      <c r="D1186">
        <v>93</v>
      </c>
      <c r="E1186">
        <v>186</v>
      </c>
      <c r="F1186">
        <v>233</v>
      </c>
      <c r="G1186" s="1">
        <v>45555</v>
      </c>
      <c r="H1186" t="s">
        <v>11</v>
      </c>
      <c r="I1186">
        <v>2024</v>
      </c>
      <c r="J1186">
        <v>9</v>
      </c>
    </row>
    <row r="1187" spans="1:10" x14ac:dyDescent="0.3">
      <c r="A1187">
        <v>477</v>
      </c>
      <c r="B1187">
        <v>27</v>
      </c>
      <c r="C1187">
        <v>5</v>
      </c>
      <c r="D1187">
        <v>28</v>
      </c>
      <c r="E1187">
        <v>140</v>
      </c>
      <c r="F1187">
        <v>144</v>
      </c>
      <c r="G1187" s="1">
        <v>45308</v>
      </c>
      <c r="H1187" t="s">
        <v>11</v>
      </c>
      <c r="I1187">
        <v>2024</v>
      </c>
      <c r="J1187">
        <v>1</v>
      </c>
    </row>
    <row r="1188" spans="1:10" x14ac:dyDescent="0.3">
      <c r="A1188">
        <v>477</v>
      </c>
      <c r="B1188">
        <v>46</v>
      </c>
      <c r="C1188">
        <v>5</v>
      </c>
      <c r="D1188">
        <v>82</v>
      </c>
      <c r="E1188">
        <v>410</v>
      </c>
      <c r="F1188">
        <v>144</v>
      </c>
      <c r="G1188" s="1">
        <v>45308</v>
      </c>
      <c r="H1188" t="s">
        <v>11</v>
      </c>
      <c r="I1188">
        <v>2024</v>
      </c>
      <c r="J1188">
        <v>1</v>
      </c>
    </row>
    <row r="1189" spans="1:10" x14ac:dyDescent="0.3">
      <c r="A1189">
        <v>340</v>
      </c>
      <c r="B1189">
        <v>26</v>
      </c>
      <c r="C1189">
        <v>5</v>
      </c>
      <c r="D1189">
        <v>12</v>
      </c>
      <c r="E1189">
        <v>60</v>
      </c>
      <c r="F1189">
        <v>5</v>
      </c>
      <c r="G1189" s="1">
        <v>45552</v>
      </c>
      <c r="H1189" t="s">
        <v>11</v>
      </c>
      <c r="I1189">
        <v>2024</v>
      </c>
      <c r="J1189">
        <v>9</v>
      </c>
    </row>
    <row r="1190" spans="1:10" x14ac:dyDescent="0.3">
      <c r="A1190">
        <v>340</v>
      </c>
      <c r="B1190">
        <v>40</v>
      </c>
      <c r="C1190">
        <v>3</v>
      </c>
      <c r="D1190">
        <v>52</v>
      </c>
      <c r="E1190">
        <v>156</v>
      </c>
      <c r="F1190">
        <v>5</v>
      </c>
      <c r="G1190" s="1">
        <v>45552</v>
      </c>
      <c r="H1190" t="s">
        <v>11</v>
      </c>
      <c r="I1190">
        <v>2024</v>
      </c>
      <c r="J1190">
        <v>9</v>
      </c>
    </row>
    <row r="1191" spans="1:10" x14ac:dyDescent="0.3">
      <c r="A1191">
        <v>340</v>
      </c>
      <c r="B1191">
        <v>18</v>
      </c>
      <c r="C1191">
        <v>1</v>
      </c>
      <c r="D1191">
        <v>86</v>
      </c>
      <c r="E1191">
        <v>86</v>
      </c>
      <c r="F1191">
        <v>5</v>
      </c>
      <c r="G1191" s="1">
        <v>45552</v>
      </c>
      <c r="H1191" t="s">
        <v>11</v>
      </c>
      <c r="I1191">
        <v>2024</v>
      </c>
      <c r="J1191">
        <v>9</v>
      </c>
    </row>
    <row r="1192" spans="1:10" x14ac:dyDescent="0.3">
      <c r="A1192">
        <v>340</v>
      </c>
      <c r="B1192">
        <v>7</v>
      </c>
      <c r="C1192">
        <v>2</v>
      </c>
      <c r="D1192">
        <v>61</v>
      </c>
      <c r="E1192">
        <v>122</v>
      </c>
      <c r="F1192">
        <v>5</v>
      </c>
      <c r="G1192" s="1">
        <v>45552</v>
      </c>
      <c r="H1192" t="s">
        <v>11</v>
      </c>
      <c r="I1192">
        <v>2024</v>
      </c>
      <c r="J1192">
        <v>9</v>
      </c>
    </row>
    <row r="1193" spans="1:10" x14ac:dyDescent="0.3">
      <c r="A1193">
        <v>880</v>
      </c>
      <c r="B1193">
        <v>9</v>
      </c>
      <c r="C1193">
        <v>3</v>
      </c>
      <c r="D1193">
        <v>18</v>
      </c>
      <c r="E1193">
        <v>54</v>
      </c>
      <c r="F1193">
        <v>104</v>
      </c>
      <c r="G1193" s="1">
        <v>45622</v>
      </c>
      <c r="H1193" t="s">
        <v>11</v>
      </c>
      <c r="I1193">
        <v>2024</v>
      </c>
      <c r="J1193">
        <v>11</v>
      </c>
    </row>
    <row r="1194" spans="1:10" x14ac:dyDescent="0.3">
      <c r="A1194">
        <v>880</v>
      </c>
      <c r="B1194">
        <v>31</v>
      </c>
      <c r="C1194">
        <v>3</v>
      </c>
      <c r="D1194">
        <v>55</v>
      </c>
      <c r="E1194">
        <v>165</v>
      </c>
      <c r="F1194">
        <v>104</v>
      </c>
      <c r="G1194" s="1">
        <v>45622</v>
      </c>
      <c r="H1194" t="s">
        <v>11</v>
      </c>
      <c r="I1194">
        <v>2024</v>
      </c>
      <c r="J1194">
        <v>11</v>
      </c>
    </row>
    <row r="1195" spans="1:10" x14ac:dyDescent="0.3">
      <c r="A1195">
        <v>192</v>
      </c>
      <c r="B1195">
        <v>48</v>
      </c>
      <c r="C1195">
        <v>3</v>
      </c>
      <c r="D1195">
        <v>85</v>
      </c>
      <c r="E1195">
        <v>255</v>
      </c>
      <c r="F1195">
        <v>240</v>
      </c>
      <c r="G1195" s="1">
        <v>45316</v>
      </c>
      <c r="H1195" t="s">
        <v>11</v>
      </c>
      <c r="I1195">
        <v>2024</v>
      </c>
      <c r="J1195">
        <v>1</v>
      </c>
    </row>
    <row r="1196" spans="1:10" x14ac:dyDescent="0.3">
      <c r="A1196">
        <v>192</v>
      </c>
      <c r="B1196">
        <v>23</v>
      </c>
      <c r="C1196">
        <v>3</v>
      </c>
      <c r="D1196">
        <v>12</v>
      </c>
      <c r="E1196">
        <v>36</v>
      </c>
      <c r="F1196">
        <v>240</v>
      </c>
      <c r="G1196" s="1">
        <v>45316</v>
      </c>
      <c r="H1196" t="s">
        <v>11</v>
      </c>
      <c r="I1196">
        <v>2024</v>
      </c>
      <c r="J1196">
        <v>1</v>
      </c>
    </row>
    <row r="1197" spans="1:10" x14ac:dyDescent="0.3">
      <c r="A1197">
        <v>192</v>
      </c>
      <c r="B1197">
        <v>13</v>
      </c>
      <c r="C1197">
        <v>5</v>
      </c>
      <c r="D1197">
        <v>107</v>
      </c>
      <c r="E1197">
        <v>535</v>
      </c>
      <c r="F1197">
        <v>240</v>
      </c>
      <c r="G1197" s="1">
        <v>45316</v>
      </c>
      <c r="H1197" t="s">
        <v>11</v>
      </c>
      <c r="I1197">
        <v>2024</v>
      </c>
      <c r="J1197">
        <v>1</v>
      </c>
    </row>
    <row r="1198" spans="1:10" x14ac:dyDescent="0.3">
      <c r="A1198">
        <v>963</v>
      </c>
      <c r="B1198">
        <v>2</v>
      </c>
      <c r="C1198">
        <v>2</v>
      </c>
      <c r="D1198">
        <v>20</v>
      </c>
      <c r="E1198">
        <v>40</v>
      </c>
      <c r="F1198">
        <v>244</v>
      </c>
      <c r="G1198" s="1">
        <v>45362</v>
      </c>
      <c r="H1198" t="s">
        <v>11</v>
      </c>
      <c r="I1198">
        <v>2024</v>
      </c>
      <c r="J1198">
        <v>3</v>
      </c>
    </row>
    <row r="1199" spans="1:10" x14ac:dyDescent="0.3">
      <c r="A1199">
        <v>963</v>
      </c>
      <c r="B1199">
        <v>28</v>
      </c>
      <c r="C1199">
        <v>1</v>
      </c>
      <c r="D1199">
        <v>97</v>
      </c>
      <c r="E1199">
        <v>97</v>
      </c>
      <c r="F1199">
        <v>244</v>
      </c>
      <c r="G1199" s="1">
        <v>45362</v>
      </c>
      <c r="H1199" t="s">
        <v>11</v>
      </c>
      <c r="I1199">
        <v>2024</v>
      </c>
      <c r="J1199">
        <v>3</v>
      </c>
    </row>
    <row r="1200" spans="1:10" x14ac:dyDescent="0.3">
      <c r="A1200">
        <v>963</v>
      </c>
      <c r="B1200">
        <v>23</v>
      </c>
      <c r="C1200">
        <v>3</v>
      </c>
      <c r="D1200">
        <v>105</v>
      </c>
      <c r="E1200">
        <v>315</v>
      </c>
      <c r="F1200">
        <v>244</v>
      </c>
      <c r="G1200" s="1">
        <v>45362</v>
      </c>
      <c r="H1200" t="s">
        <v>11</v>
      </c>
      <c r="I1200">
        <v>2024</v>
      </c>
      <c r="J1200">
        <v>3</v>
      </c>
    </row>
    <row r="1201" spans="1:10" x14ac:dyDescent="0.3">
      <c r="A1201">
        <v>963</v>
      </c>
      <c r="B1201">
        <v>46</v>
      </c>
      <c r="C1201">
        <v>3</v>
      </c>
      <c r="D1201">
        <v>109</v>
      </c>
      <c r="E1201">
        <v>327</v>
      </c>
      <c r="F1201">
        <v>244</v>
      </c>
      <c r="G1201" s="1">
        <v>45362</v>
      </c>
      <c r="H1201" t="s">
        <v>11</v>
      </c>
      <c r="I1201">
        <v>2024</v>
      </c>
      <c r="J1201">
        <v>3</v>
      </c>
    </row>
    <row r="1202" spans="1:10" x14ac:dyDescent="0.3">
      <c r="A1202">
        <v>963</v>
      </c>
      <c r="B1202">
        <v>11</v>
      </c>
      <c r="C1202">
        <v>1</v>
      </c>
      <c r="D1202">
        <v>54</v>
      </c>
      <c r="E1202">
        <v>54</v>
      </c>
      <c r="F1202">
        <v>244</v>
      </c>
      <c r="G1202" s="1">
        <v>45362</v>
      </c>
      <c r="H1202" t="s">
        <v>11</v>
      </c>
      <c r="I1202">
        <v>2024</v>
      </c>
      <c r="J1202">
        <v>3</v>
      </c>
    </row>
    <row r="1203" spans="1:10" x14ac:dyDescent="0.3">
      <c r="A1203">
        <v>474</v>
      </c>
      <c r="B1203">
        <v>1</v>
      </c>
      <c r="C1203">
        <v>4</v>
      </c>
      <c r="D1203">
        <v>29</v>
      </c>
      <c r="E1203">
        <v>116</v>
      </c>
      <c r="F1203">
        <v>206</v>
      </c>
      <c r="G1203" s="1">
        <v>45615</v>
      </c>
      <c r="H1203" t="s">
        <v>11</v>
      </c>
      <c r="I1203">
        <v>2024</v>
      </c>
      <c r="J1203">
        <v>11</v>
      </c>
    </row>
    <row r="1204" spans="1:10" x14ac:dyDescent="0.3">
      <c r="A1204">
        <v>474</v>
      </c>
      <c r="B1204">
        <v>4</v>
      </c>
      <c r="C1204">
        <v>3</v>
      </c>
      <c r="D1204">
        <v>19</v>
      </c>
      <c r="E1204">
        <v>57</v>
      </c>
      <c r="F1204">
        <v>206</v>
      </c>
      <c r="G1204" s="1">
        <v>45615</v>
      </c>
      <c r="H1204" t="s">
        <v>11</v>
      </c>
      <c r="I1204">
        <v>2024</v>
      </c>
      <c r="J1204">
        <v>11</v>
      </c>
    </row>
    <row r="1205" spans="1:10" x14ac:dyDescent="0.3">
      <c r="A1205">
        <v>128</v>
      </c>
      <c r="B1205">
        <v>31</v>
      </c>
      <c r="C1205">
        <v>5</v>
      </c>
      <c r="D1205">
        <v>84</v>
      </c>
      <c r="E1205">
        <v>420</v>
      </c>
      <c r="F1205">
        <v>86</v>
      </c>
      <c r="G1205" s="1">
        <v>45653</v>
      </c>
      <c r="H1205" t="s">
        <v>11</v>
      </c>
      <c r="I1205">
        <v>2024</v>
      </c>
      <c r="J1205">
        <v>12</v>
      </c>
    </row>
    <row r="1206" spans="1:10" x14ac:dyDescent="0.3">
      <c r="A1206">
        <v>128</v>
      </c>
      <c r="B1206">
        <v>35</v>
      </c>
      <c r="C1206">
        <v>5</v>
      </c>
      <c r="D1206">
        <v>34</v>
      </c>
      <c r="E1206">
        <v>170</v>
      </c>
      <c r="F1206">
        <v>86</v>
      </c>
      <c r="G1206" s="1">
        <v>45653</v>
      </c>
      <c r="H1206" t="s">
        <v>11</v>
      </c>
      <c r="I1206">
        <v>2024</v>
      </c>
      <c r="J1206">
        <v>12</v>
      </c>
    </row>
    <row r="1207" spans="1:10" x14ac:dyDescent="0.3">
      <c r="A1207">
        <v>128</v>
      </c>
      <c r="B1207">
        <v>27</v>
      </c>
      <c r="C1207">
        <v>4</v>
      </c>
      <c r="D1207">
        <v>23</v>
      </c>
      <c r="E1207">
        <v>92</v>
      </c>
      <c r="F1207">
        <v>86</v>
      </c>
      <c r="G1207" s="1">
        <v>45653</v>
      </c>
      <c r="H1207" t="s">
        <v>11</v>
      </c>
      <c r="I1207">
        <v>2024</v>
      </c>
      <c r="J1207">
        <v>12</v>
      </c>
    </row>
    <row r="1208" spans="1:10" x14ac:dyDescent="0.3">
      <c r="A1208">
        <v>914</v>
      </c>
      <c r="B1208">
        <v>2</v>
      </c>
      <c r="C1208">
        <v>1</v>
      </c>
      <c r="D1208">
        <v>17</v>
      </c>
      <c r="E1208">
        <v>17</v>
      </c>
      <c r="F1208">
        <v>173</v>
      </c>
      <c r="G1208" s="1">
        <v>45584</v>
      </c>
      <c r="H1208" t="s">
        <v>11</v>
      </c>
      <c r="I1208">
        <v>2024</v>
      </c>
      <c r="J1208">
        <v>10</v>
      </c>
    </row>
    <row r="1209" spans="1:10" x14ac:dyDescent="0.3">
      <c r="A1209">
        <v>914</v>
      </c>
      <c r="B1209">
        <v>21</v>
      </c>
      <c r="C1209">
        <v>4</v>
      </c>
      <c r="D1209">
        <v>101</v>
      </c>
      <c r="E1209">
        <v>404</v>
      </c>
      <c r="F1209">
        <v>173</v>
      </c>
      <c r="G1209" s="1">
        <v>45584</v>
      </c>
      <c r="H1209" t="s">
        <v>11</v>
      </c>
      <c r="I1209">
        <v>2024</v>
      </c>
      <c r="J1209">
        <v>10</v>
      </c>
    </row>
    <row r="1210" spans="1:10" x14ac:dyDescent="0.3">
      <c r="A1210">
        <v>914</v>
      </c>
      <c r="B1210">
        <v>49</v>
      </c>
      <c r="C1210">
        <v>5</v>
      </c>
      <c r="D1210">
        <v>20</v>
      </c>
      <c r="E1210">
        <v>100</v>
      </c>
      <c r="F1210">
        <v>173</v>
      </c>
      <c r="G1210" s="1">
        <v>45584</v>
      </c>
      <c r="H1210" t="s">
        <v>11</v>
      </c>
      <c r="I1210">
        <v>2024</v>
      </c>
      <c r="J1210">
        <v>10</v>
      </c>
    </row>
    <row r="1211" spans="1:10" x14ac:dyDescent="0.3">
      <c r="A1211">
        <v>369</v>
      </c>
      <c r="B1211">
        <v>29</v>
      </c>
      <c r="C1211">
        <v>4</v>
      </c>
      <c r="D1211">
        <v>13</v>
      </c>
      <c r="E1211">
        <v>52</v>
      </c>
      <c r="F1211">
        <v>48</v>
      </c>
      <c r="G1211" s="1">
        <v>45320</v>
      </c>
      <c r="H1211" t="s">
        <v>11</v>
      </c>
      <c r="I1211">
        <v>2024</v>
      </c>
      <c r="J1211">
        <v>1</v>
      </c>
    </row>
    <row r="1212" spans="1:10" x14ac:dyDescent="0.3">
      <c r="A1212">
        <v>369</v>
      </c>
      <c r="B1212">
        <v>26</v>
      </c>
      <c r="C1212">
        <v>5</v>
      </c>
      <c r="D1212">
        <v>102</v>
      </c>
      <c r="E1212">
        <v>510</v>
      </c>
      <c r="F1212">
        <v>48</v>
      </c>
      <c r="G1212" s="1">
        <v>45320</v>
      </c>
      <c r="H1212" t="s">
        <v>11</v>
      </c>
      <c r="I1212">
        <v>2024</v>
      </c>
      <c r="J1212">
        <v>1</v>
      </c>
    </row>
    <row r="1213" spans="1:10" x14ac:dyDescent="0.3">
      <c r="A1213">
        <v>369</v>
      </c>
      <c r="B1213">
        <v>22</v>
      </c>
      <c r="C1213">
        <v>1</v>
      </c>
      <c r="D1213">
        <v>19</v>
      </c>
      <c r="E1213">
        <v>19</v>
      </c>
      <c r="F1213">
        <v>48</v>
      </c>
      <c r="G1213" s="1">
        <v>45320</v>
      </c>
      <c r="H1213" t="s">
        <v>11</v>
      </c>
      <c r="I1213">
        <v>2024</v>
      </c>
      <c r="J1213">
        <v>1</v>
      </c>
    </row>
    <row r="1214" spans="1:10" x14ac:dyDescent="0.3">
      <c r="A1214">
        <v>369</v>
      </c>
      <c r="B1214">
        <v>13</v>
      </c>
      <c r="C1214">
        <v>4</v>
      </c>
      <c r="D1214">
        <v>13</v>
      </c>
      <c r="E1214">
        <v>52</v>
      </c>
      <c r="F1214">
        <v>48</v>
      </c>
      <c r="G1214" s="1">
        <v>45320</v>
      </c>
      <c r="H1214" t="s">
        <v>11</v>
      </c>
      <c r="I1214">
        <v>2024</v>
      </c>
      <c r="J1214">
        <v>1</v>
      </c>
    </row>
    <row r="1215" spans="1:10" x14ac:dyDescent="0.3">
      <c r="A1215">
        <v>851</v>
      </c>
      <c r="B1215">
        <v>15</v>
      </c>
      <c r="C1215">
        <v>1</v>
      </c>
      <c r="D1215">
        <v>36</v>
      </c>
      <c r="E1215">
        <v>36</v>
      </c>
      <c r="F1215">
        <v>267</v>
      </c>
      <c r="G1215" s="1">
        <v>45433</v>
      </c>
      <c r="H1215" t="s">
        <v>11</v>
      </c>
      <c r="I1215">
        <v>2024</v>
      </c>
      <c r="J1215">
        <v>5</v>
      </c>
    </row>
    <row r="1216" spans="1:10" x14ac:dyDescent="0.3">
      <c r="A1216">
        <v>851</v>
      </c>
      <c r="B1216">
        <v>12</v>
      </c>
      <c r="C1216">
        <v>5</v>
      </c>
      <c r="D1216">
        <v>13</v>
      </c>
      <c r="E1216">
        <v>65</v>
      </c>
      <c r="F1216">
        <v>267</v>
      </c>
      <c r="G1216" s="1">
        <v>45433</v>
      </c>
      <c r="H1216" t="s">
        <v>11</v>
      </c>
      <c r="I1216">
        <v>2024</v>
      </c>
      <c r="J1216">
        <v>5</v>
      </c>
    </row>
    <row r="1217" spans="1:10" x14ac:dyDescent="0.3">
      <c r="A1217">
        <v>851</v>
      </c>
      <c r="B1217">
        <v>45</v>
      </c>
      <c r="C1217">
        <v>3</v>
      </c>
      <c r="D1217">
        <v>65</v>
      </c>
      <c r="E1217">
        <v>195</v>
      </c>
      <c r="F1217">
        <v>267</v>
      </c>
      <c r="G1217" s="1">
        <v>45433</v>
      </c>
      <c r="H1217" t="s">
        <v>11</v>
      </c>
      <c r="I1217">
        <v>2024</v>
      </c>
      <c r="J1217">
        <v>5</v>
      </c>
    </row>
    <row r="1218" spans="1:10" x14ac:dyDescent="0.3">
      <c r="A1218">
        <v>851</v>
      </c>
      <c r="B1218">
        <v>37</v>
      </c>
      <c r="C1218">
        <v>3</v>
      </c>
      <c r="D1218">
        <v>21</v>
      </c>
      <c r="E1218">
        <v>63</v>
      </c>
      <c r="F1218">
        <v>267</v>
      </c>
      <c r="G1218" s="1">
        <v>45433</v>
      </c>
      <c r="H1218" t="s">
        <v>11</v>
      </c>
      <c r="I1218">
        <v>2024</v>
      </c>
      <c r="J1218">
        <v>5</v>
      </c>
    </row>
    <row r="1219" spans="1:10" x14ac:dyDescent="0.3">
      <c r="A1219">
        <v>43</v>
      </c>
      <c r="B1219">
        <v>12</v>
      </c>
      <c r="C1219">
        <v>2</v>
      </c>
      <c r="D1219">
        <v>53</v>
      </c>
      <c r="E1219">
        <v>106</v>
      </c>
      <c r="F1219">
        <v>92</v>
      </c>
      <c r="G1219" s="1">
        <v>45555</v>
      </c>
      <c r="H1219" t="s">
        <v>11</v>
      </c>
      <c r="I1219">
        <v>2024</v>
      </c>
      <c r="J1219">
        <v>9</v>
      </c>
    </row>
    <row r="1220" spans="1:10" x14ac:dyDescent="0.3">
      <c r="A1220">
        <v>43</v>
      </c>
      <c r="B1220">
        <v>27</v>
      </c>
      <c r="C1220">
        <v>2</v>
      </c>
      <c r="D1220">
        <v>108</v>
      </c>
      <c r="E1220">
        <v>216</v>
      </c>
      <c r="F1220">
        <v>92</v>
      </c>
      <c r="G1220" s="1">
        <v>45555</v>
      </c>
      <c r="H1220" t="s">
        <v>11</v>
      </c>
      <c r="I1220">
        <v>2024</v>
      </c>
      <c r="J1220">
        <v>9</v>
      </c>
    </row>
    <row r="1221" spans="1:10" x14ac:dyDescent="0.3">
      <c r="A1221">
        <v>43</v>
      </c>
      <c r="B1221">
        <v>4</v>
      </c>
      <c r="C1221">
        <v>1</v>
      </c>
      <c r="D1221">
        <v>12</v>
      </c>
      <c r="E1221">
        <v>12</v>
      </c>
      <c r="F1221">
        <v>92</v>
      </c>
      <c r="G1221" s="1">
        <v>45555</v>
      </c>
      <c r="H1221" t="s">
        <v>11</v>
      </c>
      <c r="I1221">
        <v>2024</v>
      </c>
      <c r="J1221">
        <v>9</v>
      </c>
    </row>
    <row r="1222" spans="1:10" x14ac:dyDescent="0.3">
      <c r="A1222">
        <v>419</v>
      </c>
      <c r="B1222">
        <v>28</v>
      </c>
      <c r="C1222">
        <v>1</v>
      </c>
      <c r="D1222">
        <v>111</v>
      </c>
      <c r="E1222">
        <v>111</v>
      </c>
      <c r="F1222">
        <v>101</v>
      </c>
      <c r="G1222" s="1">
        <v>45654</v>
      </c>
      <c r="H1222" t="s">
        <v>11</v>
      </c>
      <c r="I1222">
        <v>2024</v>
      </c>
      <c r="J1222">
        <v>12</v>
      </c>
    </row>
    <row r="1223" spans="1:10" x14ac:dyDescent="0.3">
      <c r="A1223">
        <v>419</v>
      </c>
      <c r="B1223">
        <v>38</v>
      </c>
      <c r="C1223">
        <v>1</v>
      </c>
      <c r="D1223">
        <v>67</v>
      </c>
      <c r="E1223">
        <v>67</v>
      </c>
      <c r="F1223">
        <v>101</v>
      </c>
      <c r="G1223" s="1">
        <v>45654</v>
      </c>
      <c r="H1223" t="s">
        <v>11</v>
      </c>
      <c r="I1223">
        <v>2024</v>
      </c>
      <c r="J1223">
        <v>12</v>
      </c>
    </row>
    <row r="1224" spans="1:10" x14ac:dyDescent="0.3">
      <c r="A1224">
        <v>78</v>
      </c>
      <c r="B1224">
        <v>39</v>
      </c>
      <c r="C1224">
        <v>1</v>
      </c>
      <c r="D1224">
        <v>103</v>
      </c>
      <c r="E1224">
        <v>103</v>
      </c>
      <c r="F1224">
        <v>136</v>
      </c>
      <c r="G1224" s="1">
        <v>45513</v>
      </c>
      <c r="H1224" t="s">
        <v>11</v>
      </c>
      <c r="I1224">
        <v>2024</v>
      </c>
      <c r="J1224">
        <v>8</v>
      </c>
    </row>
    <row r="1225" spans="1:10" x14ac:dyDescent="0.3">
      <c r="A1225">
        <v>801</v>
      </c>
      <c r="B1225">
        <v>21</v>
      </c>
      <c r="C1225">
        <v>3</v>
      </c>
      <c r="D1225">
        <v>57</v>
      </c>
      <c r="E1225">
        <v>171</v>
      </c>
      <c r="F1225">
        <v>4</v>
      </c>
      <c r="G1225" s="1">
        <v>45533</v>
      </c>
      <c r="H1225" t="s">
        <v>11</v>
      </c>
      <c r="I1225">
        <v>2024</v>
      </c>
      <c r="J1225">
        <v>8</v>
      </c>
    </row>
    <row r="1226" spans="1:10" x14ac:dyDescent="0.3">
      <c r="A1226">
        <v>270</v>
      </c>
      <c r="B1226">
        <v>10</v>
      </c>
      <c r="C1226">
        <v>5</v>
      </c>
      <c r="D1226">
        <v>100</v>
      </c>
      <c r="E1226">
        <v>500</v>
      </c>
      <c r="F1226">
        <v>192</v>
      </c>
      <c r="G1226" s="1">
        <v>45602</v>
      </c>
      <c r="H1226" t="s">
        <v>11</v>
      </c>
      <c r="I1226">
        <v>2024</v>
      </c>
      <c r="J1226">
        <v>11</v>
      </c>
    </row>
    <row r="1227" spans="1:10" x14ac:dyDescent="0.3">
      <c r="A1227">
        <v>701</v>
      </c>
      <c r="B1227">
        <v>14</v>
      </c>
      <c r="C1227">
        <v>2</v>
      </c>
      <c r="D1227">
        <v>61</v>
      </c>
      <c r="E1227">
        <v>122</v>
      </c>
      <c r="F1227">
        <v>133</v>
      </c>
      <c r="G1227" s="1">
        <v>45519</v>
      </c>
      <c r="H1227" t="s">
        <v>11</v>
      </c>
      <c r="I1227">
        <v>2024</v>
      </c>
      <c r="J1227">
        <v>8</v>
      </c>
    </row>
    <row r="1228" spans="1:10" x14ac:dyDescent="0.3">
      <c r="A1228">
        <v>900</v>
      </c>
      <c r="B1228">
        <v>18</v>
      </c>
      <c r="C1228">
        <v>1</v>
      </c>
      <c r="D1228">
        <v>77</v>
      </c>
      <c r="E1228">
        <v>77</v>
      </c>
      <c r="F1228">
        <v>5</v>
      </c>
      <c r="G1228" s="1">
        <v>45621</v>
      </c>
      <c r="H1228" t="s">
        <v>11</v>
      </c>
      <c r="I1228">
        <v>2024</v>
      </c>
      <c r="J1228">
        <v>11</v>
      </c>
    </row>
    <row r="1229" spans="1:10" x14ac:dyDescent="0.3">
      <c r="A1229">
        <v>900</v>
      </c>
      <c r="B1229">
        <v>37</v>
      </c>
      <c r="C1229">
        <v>1</v>
      </c>
      <c r="D1229">
        <v>32</v>
      </c>
      <c r="E1229">
        <v>32</v>
      </c>
      <c r="F1229">
        <v>5</v>
      </c>
      <c r="G1229" s="1">
        <v>45621</v>
      </c>
      <c r="H1229" t="s">
        <v>11</v>
      </c>
      <c r="I1229">
        <v>2024</v>
      </c>
      <c r="J1229">
        <v>11</v>
      </c>
    </row>
    <row r="1230" spans="1:10" x14ac:dyDescent="0.3">
      <c r="A1230">
        <v>902</v>
      </c>
      <c r="B1230">
        <v>22</v>
      </c>
      <c r="C1230">
        <v>1</v>
      </c>
      <c r="D1230">
        <v>85</v>
      </c>
      <c r="E1230">
        <v>85</v>
      </c>
      <c r="F1230">
        <v>118</v>
      </c>
      <c r="G1230" s="1">
        <v>45294</v>
      </c>
      <c r="H1230" t="s">
        <v>11</v>
      </c>
      <c r="I1230">
        <v>2024</v>
      </c>
      <c r="J1230">
        <v>1</v>
      </c>
    </row>
    <row r="1231" spans="1:10" x14ac:dyDescent="0.3">
      <c r="A1231">
        <v>902</v>
      </c>
      <c r="B1231">
        <v>19</v>
      </c>
      <c r="C1231">
        <v>4</v>
      </c>
      <c r="D1231">
        <v>24</v>
      </c>
      <c r="E1231">
        <v>96</v>
      </c>
      <c r="F1231">
        <v>118</v>
      </c>
      <c r="G1231" s="1">
        <v>45294</v>
      </c>
      <c r="H1231" t="s">
        <v>11</v>
      </c>
      <c r="I1231">
        <v>2024</v>
      </c>
      <c r="J1231">
        <v>1</v>
      </c>
    </row>
    <row r="1232" spans="1:10" x14ac:dyDescent="0.3">
      <c r="A1232">
        <v>902</v>
      </c>
      <c r="B1232">
        <v>20</v>
      </c>
      <c r="C1232">
        <v>3</v>
      </c>
      <c r="D1232">
        <v>26</v>
      </c>
      <c r="E1232">
        <v>78</v>
      </c>
      <c r="F1232">
        <v>118</v>
      </c>
      <c r="G1232" s="1">
        <v>45294</v>
      </c>
      <c r="H1232" t="s">
        <v>11</v>
      </c>
      <c r="I1232">
        <v>2024</v>
      </c>
      <c r="J1232">
        <v>1</v>
      </c>
    </row>
    <row r="1233" spans="1:10" x14ac:dyDescent="0.3">
      <c r="A1233">
        <v>902</v>
      </c>
      <c r="B1233">
        <v>17</v>
      </c>
      <c r="C1233">
        <v>4</v>
      </c>
      <c r="D1233">
        <v>84</v>
      </c>
      <c r="E1233">
        <v>336</v>
      </c>
      <c r="F1233">
        <v>118</v>
      </c>
      <c r="G1233" s="1">
        <v>45294</v>
      </c>
      <c r="H1233" t="s">
        <v>11</v>
      </c>
      <c r="I1233">
        <v>2024</v>
      </c>
      <c r="J1233">
        <v>1</v>
      </c>
    </row>
    <row r="1234" spans="1:10" x14ac:dyDescent="0.3">
      <c r="A1234">
        <v>945</v>
      </c>
      <c r="B1234">
        <v>45</v>
      </c>
      <c r="C1234">
        <v>2</v>
      </c>
      <c r="D1234">
        <v>57</v>
      </c>
      <c r="E1234">
        <v>114</v>
      </c>
      <c r="F1234">
        <v>29</v>
      </c>
      <c r="G1234" s="1">
        <v>45582</v>
      </c>
      <c r="H1234" t="s">
        <v>11</v>
      </c>
      <c r="I1234">
        <v>2024</v>
      </c>
      <c r="J1234">
        <v>10</v>
      </c>
    </row>
    <row r="1235" spans="1:10" x14ac:dyDescent="0.3">
      <c r="A1235">
        <v>945</v>
      </c>
      <c r="B1235">
        <v>27</v>
      </c>
      <c r="C1235">
        <v>2</v>
      </c>
      <c r="D1235">
        <v>74</v>
      </c>
      <c r="E1235">
        <v>148</v>
      </c>
      <c r="F1235">
        <v>29</v>
      </c>
      <c r="G1235" s="1">
        <v>45582</v>
      </c>
      <c r="H1235" t="s">
        <v>11</v>
      </c>
      <c r="I1235">
        <v>2024</v>
      </c>
      <c r="J1235">
        <v>10</v>
      </c>
    </row>
    <row r="1236" spans="1:10" x14ac:dyDescent="0.3">
      <c r="A1236">
        <v>945</v>
      </c>
      <c r="B1236">
        <v>49</v>
      </c>
      <c r="C1236">
        <v>1</v>
      </c>
      <c r="D1236">
        <v>69</v>
      </c>
      <c r="E1236">
        <v>69</v>
      </c>
      <c r="F1236">
        <v>29</v>
      </c>
      <c r="G1236" s="1">
        <v>45582</v>
      </c>
      <c r="H1236" t="s">
        <v>11</v>
      </c>
      <c r="I1236">
        <v>2024</v>
      </c>
      <c r="J1236">
        <v>10</v>
      </c>
    </row>
    <row r="1237" spans="1:10" x14ac:dyDescent="0.3">
      <c r="A1237">
        <v>945</v>
      </c>
      <c r="B1237">
        <v>31</v>
      </c>
      <c r="C1237">
        <v>3</v>
      </c>
      <c r="D1237">
        <v>82</v>
      </c>
      <c r="E1237">
        <v>246</v>
      </c>
      <c r="F1237">
        <v>29</v>
      </c>
      <c r="G1237" s="1">
        <v>45582</v>
      </c>
      <c r="H1237" t="s">
        <v>11</v>
      </c>
      <c r="I1237">
        <v>2024</v>
      </c>
      <c r="J1237">
        <v>10</v>
      </c>
    </row>
    <row r="1238" spans="1:10" x14ac:dyDescent="0.3">
      <c r="A1238">
        <v>168</v>
      </c>
      <c r="B1238">
        <v>36</v>
      </c>
      <c r="C1238">
        <v>5</v>
      </c>
      <c r="D1238">
        <v>35</v>
      </c>
      <c r="E1238">
        <v>175</v>
      </c>
      <c r="F1238">
        <v>187</v>
      </c>
      <c r="G1238" s="1">
        <v>45443</v>
      </c>
      <c r="H1238" t="s">
        <v>11</v>
      </c>
      <c r="I1238">
        <v>2024</v>
      </c>
      <c r="J1238">
        <v>5</v>
      </c>
    </row>
    <row r="1239" spans="1:10" x14ac:dyDescent="0.3">
      <c r="A1239">
        <v>336</v>
      </c>
      <c r="B1239">
        <v>25</v>
      </c>
      <c r="C1239">
        <v>2</v>
      </c>
      <c r="D1239">
        <v>101</v>
      </c>
      <c r="E1239">
        <v>202</v>
      </c>
      <c r="F1239">
        <v>264</v>
      </c>
      <c r="G1239" s="1">
        <v>45532</v>
      </c>
      <c r="H1239" t="s">
        <v>11</v>
      </c>
      <c r="I1239">
        <v>2024</v>
      </c>
      <c r="J1239">
        <v>8</v>
      </c>
    </row>
    <row r="1240" spans="1:10" x14ac:dyDescent="0.3">
      <c r="A1240">
        <v>336</v>
      </c>
      <c r="B1240">
        <v>39</v>
      </c>
      <c r="C1240">
        <v>3</v>
      </c>
      <c r="D1240">
        <v>45</v>
      </c>
      <c r="E1240">
        <v>135</v>
      </c>
      <c r="F1240">
        <v>264</v>
      </c>
      <c r="G1240" s="1">
        <v>45532</v>
      </c>
      <c r="H1240" t="s">
        <v>11</v>
      </c>
      <c r="I1240">
        <v>2024</v>
      </c>
      <c r="J1240">
        <v>8</v>
      </c>
    </row>
    <row r="1241" spans="1:10" x14ac:dyDescent="0.3">
      <c r="A1241">
        <v>336</v>
      </c>
      <c r="B1241">
        <v>26</v>
      </c>
      <c r="C1241">
        <v>4</v>
      </c>
      <c r="D1241">
        <v>118</v>
      </c>
      <c r="E1241">
        <v>472</v>
      </c>
      <c r="F1241">
        <v>264</v>
      </c>
      <c r="G1241" s="1">
        <v>45532</v>
      </c>
      <c r="H1241" t="s">
        <v>11</v>
      </c>
      <c r="I1241">
        <v>2024</v>
      </c>
      <c r="J1241">
        <v>8</v>
      </c>
    </row>
    <row r="1242" spans="1:10" x14ac:dyDescent="0.3">
      <c r="A1242">
        <v>1000</v>
      </c>
      <c r="B1242">
        <v>33</v>
      </c>
      <c r="C1242">
        <v>3</v>
      </c>
      <c r="D1242">
        <v>28</v>
      </c>
      <c r="E1242">
        <v>84</v>
      </c>
      <c r="F1242">
        <v>285</v>
      </c>
      <c r="G1242" s="1">
        <v>45458</v>
      </c>
      <c r="H1242" t="s">
        <v>11</v>
      </c>
      <c r="I1242">
        <v>2024</v>
      </c>
      <c r="J1242">
        <v>6</v>
      </c>
    </row>
    <row r="1243" spans="1:10" x14ac:dyDescent="0.3">
      <c r="A1243">
        <v>240</v>
      </c>
      <c r="B1243">
        <v>36</v>
      </c>
      <c r="C1243">
        <v>2</v>
      </c>
      <c r="D1243">
        <v>92</v>
      </c>
      <c r="E1243">
        <v>184</v>
      </c>
      <c r="F1243">
        <v>194</v>
      </c>
      <c r="G1243" s="1">
        <v>45298</v>
      </c>
      <c r="H1243" t="s">
        <v>11</v>
      </c>
      <c r="I1243">
        <v>2024</v>
      </c>
      <c r="J1243">
        <v>1</v>
      </c>
    </row>
    <row r="1244" spans="1:10" x14ac:dyDescent="0.3">
      <c r="A1244">
        <v>958</v>
      </c>
      <c r="B1244">
        <v>18</v>
      </c>
      <c r="C1244">
        <v>3</v>
      </c>
      <c r="D1244">
        <v>86</v>
      </c>
      <c r="E1244">
        <v>258</v>
      </c>
      <c r="F1244">
        <v>202</v>
      </c>
      <c r="G1244" s="1">
        <v>45642</v>
      </c>
      <c r="H1244" t="s">
        <v>11</v>
      </c>
      <c r="I1244">
        <v>2024</v>
      </c>
      <c r="J1244">
        <v>12</v>
      </c>
    </row>
    <row r="1245" spans="1:10" x14ac:dyDescent="0.3">
      <c r="A1245">
        <v>958</v>
      </c>
      <c r="B1245">
        <v>50</v>
      </c>
      <c r="C1245">
        <v>2</v>
      </c>
      <c r="D1245">
        <v>84</v>
      </c>
      <c r="E1245">
        <v>168</v>
      </c>
      <c r="F1245">
        <v>202</v>
      </c>
      <c r="G1245" s="1">
        <v>45642</v>
      </c>
      <c r="H1245" t="s">
        <v>11</v>
      </c>
      <c r="I1245">
        <v>2024</v>
      </c>
      <c r="J1245">
        <v>12</v>
      </c>
    </row>
    <row r="1246" spans="1:10" x14ac:dyDescent="0.3">
      <c r="A1246">
        <v>483</v>
      </c>
      <c r="B1246">
        <v>38</v>
      </c>
      <c r="C1246">
        <v>2</v>
      </c>
      <c r="D1246">
        <v>67</v>
      </c>
      <c r="E1246">
        <v>134</v>
      </c>
      <c r="F1246">
        <v>144</v>
      </c>
      <c r="G1246" s="1">
        <v>45597</v>
      </c>
      <c r="H1246" t="s">
        <v>11</v>
      </c>
      <c r="I1246">
        <v>2024</v>
      </c>
      <c r="J1246">
        <v>11</v>
      </c>
    </row>
    <row r="1247" spans="1:10" x14ac:dyDescent="0.3">
      <c r="A1247">
        <v>483</v>
      </c>
      <c r="B1247">
        <v>42</v>
      </c>
      <c r="C1247">
        <v>4</v>
      </c>
      <c r="D1247">
        <v>61</v>
      </c>
      <c r="E1247">
        <v>244</v>
      </c>
      <c r="F1247">
        <v>144</v>
      </c>
      <c r="G1247" s="1">
        <v>45597</v>
      </c>
      <c r="H1247" t="s">
        <v>11</v>
      </c>
      <c r="I1247">
        <v>2024</v>
      </c>
      <c r="J1247">
        <v>11</v>
      </c>
    </row>
    <row r="1248" spans="1:10" x14ac:dyDescent="0.3">
      <c r="A1248">
        <v>592</v>
      </c>
      <c r="B1248">
        <v>32</v>
      </c>
      <c r="C1248">
        <v>5</v>
      </c>
      <c r="D1248">
        <v>19</v>
      </c>
      <c r="E1248">
        <v>95</v>
      </c>
      <c r="F1248">
        <v>10</v>
      </c>
      <c r="G1248" s="1">
        <v>45371</v>
      </c>
      <c r="H1248" t="s">
        <v>11</v>
      </c>
      <c r="I1248">
        <v>2024</v>
      </c>
      <c r="J1248">
        <v>3</v>
      </c>
    </row>
    <row r="1249" spans="1:10" x14ac:dyDescent="0.3">
      <c r="A1249">
        <v>458</v>
      </c>
      <c r="B1249">
        <v>5</v>
      </c>
      <c r="C1249">
        <v>5</v>
      </c>
      <c r="D1249">
        <v>67</v>
      </c>
      <c r="E1249">
        <v>335</v>
      </c>
      <c r="F1249">
        <v>13</v>
      </c>
      <c r="G1249" s="1">
        <v>45635</v>
      </c>
      <c r="H1249" t="s">
        <v>11</v>
      </c>
      <c r="I1249">
        <v>2024</v>
      </c>
      <c r="J1249">
        <v>12</v>
      </c>
    </row>
    <row r="1250" spans="1:10" x14ac:dyDescent="0.3">
      <c r="A1250">
        <v>458</v>
      </c>
      <c r="B1250">
        <v>7</v>
      </c>
      <c r="C1250">
        <v>4</v>
      </c>
      <c r="D1250">
        <v>109</v>
      </c>
      <c r="E1250">
        <v>436</v>
      </c>
      <c r="F1250">
        <v>13</v>
      </c>
      <c r="G1250" s="1">
        <v>45635</v>
      </c>
      <c r="H1250" t="s">
        <v>11</v>
      </c>
      <c r="I1250">
        <v>2024</v>
      </c>
      <c r="J1250">
        <v>12</v>
      </c>
    </row>
    <row r="1251" spans="1:10" x14ac:dyDescent="0.3">
      <c r="A1251">
        <v>458</v>
      </c>
      <c r="B1251">
        <v>16</v>
      </c>
      <c r="C1251">
        <v>2</v>
      </c>
      <c r="D1251">
        <v>86</v>
      </c>
      <c r="E1251">
        <v>172</v>
      </c>
      <c r="F1251">
        <v>13</v>
      </c>
      <c r="G1251" s="1">
        <v>45635</v>
      </c>
      <c r="H1251" t="s">
        <v>11</v>
      </c>
      <c r="I1251">
        <v>2024</v>
      </c>
      <c r="J1251">
        <v>12</v>
      </c>
    </row>
    <row r="1252" spans="1:10" x14ac:dyDescent="0.3">
      <c r="A1252">
        <v>89</v>
      </c>
      <c r="B1252">
        <v>4</v>
      </c>
      <c r="C1252">
        <v>4</v>
      </c>
      <c r="D1252">
        <v>82</v>
      </c>
      <c r="E1252">
        <v>328</v>
      </c>
      <c r="F1252">
        <v>201</v>
      </c>
      <c r="G1252" s="1">
        <v>45350</v>
      </c>
      <c r="H1252" t="s">
        <v>11</v>
      </c>
      <c r="I1252">
        <v>2024</v>
      </c>
      <c r="J1252">
        <v>2</v>
      </c>
    </row>
    <row r="1253" spans="1:10" x14ac:dyDescent="0.3">
      <c r="A1253">
        <v>89</v>
      </c>
      <c r="B1253">
        <v>41</v>
      </c>
      <c r="C1253">
        <v>4</v>
      </c>
      <c r="D1253">
        <v>54</v>
      </c>
      <c r="E1253">
        <v>216</v>
      </c>
      <c r="F1253">
        <v>201</v>
      </c>
      <c r="G1253" s="1">
        <v>45350</v>
      </c>
      <c r="H1253" t="s">
        <v>11</v>
      </c>
      <c r="I1253">
        <v>2024</v>
      </c>
      <c r="J1253">
        <v>2</v>
      </c>
    </row>
    <row r="1254" spans="1:10" x14ac:dyDescent="0.3">
      <c r="A1254">
        <v>95</v>
      </c>
      <c r="B1254">
        <v>40</v>
      </c>
      <c r="C1254">
        <v>5</v>
      </c>
      <c r="D1254">
        <v>23</v>
      </c>
      <c r="E1254">
        <v>115</v>
      </c>
      <c r="F1254">
        <v>293</v>
      </c>
      <c r="G1254" s="1">
        <v>45500</v>
      </c>
      <c r="H1254" t="s">
        <v>11</v>
      </c>
      <c r="I1254">
        <v>2024</v>
      </c>
      <c r="J1254">
        <v>7</v>
      </c>
    </row>
    <row r="1255" spans="1:10" x14ac:dyDescent="0.3">
      <c r="A1255">
        <v>151</v>
      </c>
      <c r="B1255">
        <v>31</v>
      </c>
      <c r="C1255">
        <v>3</v>
      </c>
      <c r="D1255">
        <v>105</v>
      </c>
      <c r="E1255">
        <v>315</v>
      </c>
      <c r="F1255">
        <v>165</v>
      </c>
      <c r="G1255" s="1">
        <v>45583</v>
      </c>
      <c r="H1255" t="s">
        <v>11</v>
      </c>
      <c r="I1255">
        <v>2024</v>
      </c>
      <c r="J1255">
        <v>10</v>
      </c>
    </row>
    <row r="1256" spans="1:10" x14ac:dyDescent="0.3">
      <c r="A1256">
        <v>151</v>
      </c>
      <c r="B1256">
        <v>1</v>
      </c>
      <c r="C1256">
        <v>4</v>
      </c>
      <c r="D1256">
        <v>77</v>
      </c>
      <c r="E1256">
        <v>308</v>
      </c>
      <c r="F1256">
        <v>165</v>
      </c>
      <c r="G1256" s="1">
        <v>45583</v>
      </c>
      <c r="H1256" t="s">
        <v>11</v>
      </c>
      <c r="I1256">
        <v>2024</v>
      </c>
      <c r="J1256">
        <v>10</v>
      </c>
    </row>
    <row r="1257" spans="1:10" x14ac:dyDescent="0.3">
      <c r="A1257">
        <v>514</v>
      </c>
      <c r="B1257">
        <v>14</v>
      </c>
      <c r="C1257">
        <v>2</v>
      </c>
      <c r="D1257">
        <v>42</v>
      </c>
      <c r="E1257">
        <v>84</v>
      </c>
      <c r="F1257">
        <v>165</v>
      </c>
      <c r="G1257" s="1">
        <v>45486</v>
      </c>
      <c r="H1257" t="s">
        <v>11</v>
      </c>
      <c r="I1257">
        <v>2024</v>
      </c>
      <c r="J1257">
        <v>7</v>
      </c>
    </row>
    <row r="1258" spans="1:10" x14ac:dyDescent="0.3">
      <c r="A1258">
        <v>514</v>
      </c>
      <c r="B1258">
        <v>19</v>
      </c>
      <c r="C1258">
        <v>5</v>
      </c>
      <c r="D1258">
        <v>108</v>
      </c>
      <c r="E1258">
        <v>540</v>
      </c>
      <c r="F1258">
        <v>165</v>
      </c>
      <c r="G1258" s="1">
        <v>45486</v>
      </c>
      <c r="H1258" t="s">
        <v>11</v>
      </c>
      <c r="I1258">
        <v>2024</v>
      </c>
      <c r="J1258">
        <v>7</v>
      </c>
    </row>
    <row r="1259" spans="1:10" x14ac:dyDescent="0.3">
      <c r="A1259">
        <v>514</v>
      </c>
      <c r="B1259">
        <v>25</v>
      </c>
      <c r="C1259">
        <v>3</v>
      </c>
      <c r="D1259">
        <v>108</v>
      </c>
      <c r="E1259">
        <v>324</v>
      </c>
      <c r="F1259">
        <v>165</v>
      </c>
      <c r="G1259" s="1">
        <v>45486</v>
      </c>
      <c r="H1259" t="s">
        <v>11</v>
      </c>
      <c r="I1259">
        <v>2024</v>
      </c>
      <c r="J1259">
        <v>7</v>
      </c>
    </row>
    <row r="1260" spans="1:10" x14ac:dyDescent="0.3">
      <c r="A1260">
        <v>376</v>
      </c>
      <c r="B1260">
        <v>6</v>
      </c>
      <c r="C1260">
        <v>5</v>
      </c>
      <c r="D1260">
        <v>26</v>
      </c>
      <c r="E1260">
        <v>130</v>
      </c>
      <c r="F1260">
        <v>278</v>
      </c>
      <c r="G1260" s="1">
        <v>45331</v>
      </c>
      <c r="H1260" t="s">
        <v>11</v>
      </c>
      <c r="I1260">
        <v>2024</v>
      </c>
      <c r="J1260">
        <v>2</v>
      </c>
    </row>
    <row r="1261" spans="1:10" x14ac:dyDescent="0.3">
      <c r="A1261">
        <v>376</v>
      </c>
      <c r="B1261">
        <v>20</v>
      </c>
      <c r="C1261">
        <v>3</v>
      </c>
      <c r="D1261">
        <v>42</v>
      </c>
      <c r="E1261">
        <v>126</v>
      </c>
      <c r="F1261">
        <v>278</v>
      </c>
      <c r="G1261" s="1">
        <v>45331</v>
      </c>
      <c r="H1261" t="s">
        <v>11</v>
      </c>
      <c r="I1261">
        <v>2024</v>
      </c>
      <c r="J1261">
        <v>2</v>
      </c>
    </row>
    <row r="1262" spans="1:10" x14ac:dyDescent="0.3">
      <c r="A1262">
        <v>997</v>
      </c>
      <c r="B1262">
        <v>45</v>
      </c>
      <c r="C1262">
        <v>5</v>
      </c>
      <c r="D1262">
        <v>22</v>
      </c>
      <c r="E1262">
        <v>110</v>
      </c>
      <c r="F1262">
        <v>211</v>
      </c>
      <c r="G1262" s="1">
        <v>45310</v>
      </c>
      <c r="H1262" t="s">
        <v>11</v>
      </c>
      <c r="I1262">
        <v>2024</v>
      </c>
      <c r="J1262">
        <v>1</v>
      </c>
    </row>
    <row r="1263" spans="1:10" x14ac:dyDescent="0.3">
      <c r="A1263">
        <v>840</v>
      </c>
      <c r="B1263">
        <v>23</v>
      </c>
      <c r="C1263">
        <v>3</v>
      </c>
      <c r="D1263">
        <v>71</v>
      </c>
      <c r="E1263">
        <v>213</v>
      </c>
      <c r="F1263">
        <v>38</v>
      </c>
      <c r="G1263" s="1">
        <v>45427</v>
      </c>
      <c r="H1263" t="s">
        <v>11</v>
      </c>
      <c r="I1263">
        <v>2024</v>
      </c>
      <c r="J1263">
        <v>5</v>
      </c>
    </row>
    <row r="1264" spans="1:10" x14ac:dyDescent="0.3">
      <c r="A1264">
        <v>840</v>
      </c>
      <c r="B1264">
        <v>45</v>
      </c>
      <c r="C1264">
        <v>3</v>
      </c>
      <c r="D1264">
        <v>89</v>
      </c>
      <c r="E1264">
        <v>267</v>
      </c>
      <c r="F1264">
        <v>38</v>
      </c>
      <c r="G1264" s="1">
        <v>45427</v>
      </c>
      <c r="H1264" t="s">
        <v>11</v>
      </c>
      <c r="I1264">
        <v>2024</v>
      </c>
      <c r="J1264">
        <v>5</v>
      </c>
    </row>
    <row r="1265" spans="1:10" x14ac:dyDescent="0.3">
      <c r="A1265">
        <v>375</v>
      </c>
      <c r="B1265">
        <v>32</v>
      </c>
      <c r="C1265">
        <v>5</v>
      </c>
      <c r="D1265">
        <v>90</v>
      </c>
      <c r="E1265">
        <v>450</v>
      </c>
      <c r="F1265">
        <v>69</v>
      </c>
      <c r="G1265" s="1">
        <v>45300</v>
      </c>
      <c r="H1265" t="s">
        <v>11</v>
      </c>
      <c r="I1265">
        <v>2024</v>
      </c>
      <c r="J1265">
        <v>1</v>
      </c>
    </row>
    <row r="1266" spans="1:10" x14ac:dyDescent="0.3">
      <c r="A1266">
        <v>375</v>
      </c>
      <c r="B1266">
        <v>24</v>
      </c>
      <c r="C1266">
        <v>2</v>
      </c>
      <c r="D1266">
        <v>104</v>
      </c>
      <c r="E1266">
        <v>208</v>
      </c>
      <c r="F1266">
        <v>69</v>
      </c>
      <c r="G1266" s="1">
        <v>45300</v>
      </c>
      <c r="H1266" t="s">
        <v>11</v>
      </c>
      <c r="I1266">
        <v>2024</v>
      </c>
      <c r="J1266">
        <v>1</v>
      </c>
    </row>
    <row r="1267" spans="1:10" x14ac:dyDescent="0.3">
      <c r="A1267">
        <v>375</v>
      </c>
      <c r="B1267">
        <v>18</v>
      </c>
      <c r="C1267">
        <v>3</v>
      </c>
      <c r="D1267">
        <v>97</v>
      </c>
      <c r="E1267">
        <v>291</v>
      </c>
      <c r="F1267">
        <v>69</v>
      </c>
      <c r="G1267" s="1">
        <v>45300</v>
      </c>
      <c r="H1267" t="s">
        <v>11</v>
      </c>
      <c r="I1267">
        <v>2024</v>
      </c>
      <c r="J1267">
        <v>1</v>
      </c>
    </row>
    <row r="1268" spans="1:10" x14ac:dyDescent="0.3">
      <c r="A1268">
        <v>595</v>
      </c>
      <c r="B1268">
        <v>41</v>
      </c>
      <c r="C1268">
        <v>5</v>
      </c>
      <c r="D1268">
        <v>12</v>
      </c>
      <c r="E1268">
        <v>60</v>
      </c>
      <c r="F1268">
        <v>251</v>
      </c>
      <c r="G1268" s="1">
        <v>45383</v>
      </c>
      <c r="H1268" t="s">
        <v>11</v>
      </c>
      <c r="I1268">
        <v>2024</v>
      </c>
      <c r="J1268">
        <v>4</v>
      </c>
    </row>
    <row r="1269" spans="1:10" x14ac:dyDescent="0.3">
      <c r="A1269">
        <v>595</v>
      </c>
      <c r="B1269">
        <v>46</v>
      </c>
      <c r="C1269">
        <v>4</v>
      </c>
      <c r="D1269">
        <v>118</v>
      </c>
      <c r="E1269">
        <v>472</v>
      </c>
      <c r="F1269">
        <v>251</v>
      </c>
      <c r="G1269" s="1">
        <v>45383</v>
      </c>
      <c r="H1269" t="s">
        <v>11</v>
      </c>
      <c r="I1269">
        <v>2024</v>
      </c>
      <c r="J1269">
        <v>4</v>
      </c>
    </row>
    <row r="1270" spans="1:10" x14ac:dyDescent="0.3">
      <c r="A1270">
        <v>595</v>
      </c>
      <c r="B1270">
        <v>10</v>
      </c>
      <c r="C1270">
        <v>1</v>
      </c>
      <c r="D1270">
        <v>15</v>
      </c>
      <c r="E1270">
        <v>15</v>
      </c>
      <c r="F1270">
        <v>251</v>
      </c>
      <c r="G1270" s="1">
        <v>45383</v>
      </c>
      <c r="H1270" t="s">
        <v>11</v>
      </c>
      <c r="I1270">
        <v>2024</v>
      </c>
      <c r="J1270">
        <v>4</v>
      </c>
    </row>
    <row r="1271" spans="1:10" x14ac:dyDescent="0.3">
      <c r="A1271">
        <v>179</v>
      </c>
      <c r="B1271">
        <v>47</v>
      </c>
      <c r="C1271">
        <v>5</v>
      </c>
      <c r="D1271">
        <v>21</v>
      </c>
      <c r="E1271">
        <v>105</v>
      </c>
      <c r="F1271">
        <v>172</v>
      </c>
      <c r="G1271" s="1">
        <v>45628</v>
      </c>
      <c r="H1271" t="s">
        <v>11</v>
      </c>
      <c r="I1271">
        <v>2024</v>
      </c>
      <c r="J1271">
        <v>12</v>
      </c>
    </row>
    <row r="1272" spans="1:10" x14ac:dyDescent="0.3">
      <c r="A1272">
        <v>179</v>
      </c>
      <c r="B1272">
        <v>38</v>
      </c>
      <c r="C1272">
        <v>1</v>
      </c>
      <c r="D1272">
        <v>96</v>
      </c>
      <c r="E1272">
        <v>96</v>
      </c>
      <c r="F1272">
        <v>172</v>
      </c>
      <c r="G1272" s="1">
        <v>45628</v>
      </c>
      <c r="H1272" t="s">
        <v>11</v>
      </c>
      <c r="I1272">
        <v>2024</v>
      </c>
      <c r="J1272">
        <v>12</v>
      </c>
    </row>
    <row r="1273" spans="1:10" x14ac:dyDescent="0.3">
      <c r="A1273">
        <v>500</v>
      </c>
      <c r="B1273">
        <v>34</v>
      </c>
      <c r="C1273">
        <v>3</v>
      </c>
      <c r="D1273">
        <v>25</v>
      </c>
      <c r="E1273">
        <v>75</v>
      </c>
      <c r="F1273">
        <v>9</v>
      </c>
      <c r="G1273" s="1">
        <v>45576</v>
      </c>
      <c r="H1273" t="s">
        <v>11</v>
      </c>
      <c r="I1273">
        <v>2024</v>
      </c>
      <c r="J1273">
        <v>10</v>
      </c>
    </row>
    <row r="1274" spans="1:10" x14ac:dyDescent="0.3">
      <c r="A1274">
        <v>500</v>
      </c>
      <c r="B1274">
        <v>15</v>
      </c>
      <c r="C1274">
        <v>2</v>
      </c>
      <c r="D1274">
        <v>20</v>
      </c>
      <c r="E1274">
        <v>40</v>
      </c>
      <c r="F1274">
        <v>9</v>
      </c>
      <c r="G1274" s="1">
        <v>45576</v>
      </c>
      <c r="H1274" t="s">
        <v>11</v>
      </c>
      <c r="I1274">
        <v>2024</v>
      </c>
      <c r="J1274">
        <v>10</v>
      </c>
    </row>
    <row r="1275" spans="1:10" x14ac:dyDescent="0.3">
      <c r="A1275">
        <v>464</v>
      </c>
      <c r="B1275">
        <v>5</v>
      </c>
      <c r="C1275">
        <v>4</v>
      </c>
      <c r="D1275">
        <v>87</v>
      </c>
      <c r="E1275">
        <v>348</v>
      </c>
      <c r="F1275">
        <v>84</v>
      </c>
      <c r="G1275" s="1">
        <v>45515</v>
      </c>
      <c r="H1275" t="s">
        <v>11</v>
      </c>
      <c r="I1275">
        <v>2024</v>
      </c>
      <c r="J1275">
        <v>8</v>
      </c>
    </row>
    <row r="1276" spans="1:10" x14ac:dyDescent="0.3">
      <c r="A1276">
        <v>113</v>
      </c>
      <c r="B1276">
        <v>40</v>
      </c>
      <c r="C1276">
        <v>3</v>
      </c>
      <c r="D1276">
        <v>72</v>
      </c>
      <c r="E1276">
        <v>216</v>
      </c>
      <c r="F1276">
        <v>231</v>
      </c>
      <c r="G1276" s="1">
        <v>45366</v>
      </c>
      <c r="H1276" t="s">
        <v>11</v>
      </c>
      <c r="I1276">
        <v>2024</v>
      </c>
      <c r="J1276">
        <v>3</v>
      </c>
    </row>
    <row r="1277" spans="1:10" x14ac:dyDescent="0.3">
      <c r="A1277">
        <v>113</v>
      </c>
      <c r="B1277">
        <v>25</v>
      </c>
      <c r="C1277">
        <v>5</v>
      </c>
      <c r="D1277">
        <v>30</v>
      </c>
      <c r="E1277">
        <v>150</v>
      </c>
      <c r="F1277">
        <v>231</v>
      </c>
      <c r="G1277" s="1">
        <v>45366</v>
      </c>
      <c r="H1277" t="s">
        <v>11</v>
      </c>
      <c r="I1277">
        <v>2024</v>
      </c>
      <c r="J1277">
        <v>3</v>
      </c>
    </row>
    <row r="1278" spans="1:10" x14ac:dyDescent="0.3">
      <c r="A1278">
        <v>126</v>
      </c>
      <c r="B1278">
        <v>15</v>
      </c>
      <c r="C1278">
        <v>2</v>
      </c>
      <c r="D1278">
        <v>116</v>
      </c>
      <c r="E1278">
        <v>232</v>
      </c>
      <c r="F1278">
        <v>187</v>
      </c>
      <c r="G1278" s="1">
        <v>45378</v>
      </c>
      <c r="H1278" t="s">
        <v>11</v>
      </c>
      <c r="I1278">
        <v>2024</v>
      </c>
      <c r="J1278">
        <v>3</v>
      </c>
    </row>
    <row r="1279" spans="1:10" x14ac:dyDescent="0.3">
      <c r="A1279">
        <v>140</v>
      </c>
      <c r="B1279">
        <v>17</v>
      </c>
      <c r="C1279">
        <v>2</v>
      </c>
      <c r="D1279">
        <v>68</v>
      </c>
      <c r="E1279">
        <v>136</v>
      </c>
      <c r="F1279">
        <v>128</v>
      </c>
      <c r="G1279" s="1">
        <v>45464</v>
      </c>
      <c r="H1279" t="s">
        <v>11</v>
      </c>
      <c r="I1279">
        <v>2024</v>
      </c>
      <c r="J1279">
        <v>6</v>
      </c>
    </row>
    <row r="1280" spans="1:10" x14ac:dyDescent="0.3">
      <c r="A1280">
        <v>140</v>
      </c>
      <c r="B1280">
        <v>3</v>
      </c>
      <c r="C1280">
        <v>5</v>
      </c>
      <c r="D1280">
        <v>92</v>
      </c>
      <c r="E1280">
        <v>460</v>
      </c>
      <c r="F1280">
        <v>128</v>
      </c>
      <c r="G1280" s="1">
        <v>45464</v>
      </c>
      <c r="H1280" t="s">
        <v>11</v>
      </c>
      <c r="I1280">
        <v>2024</v>
      </c>
      <c r="J1280">
        <v>6</v>
      </c>
    </row>
    <row r="1281" spans="1:10" x14ac:dyDescent="0.3">
      <c r="A1281">
        <v>517</v>
      </c>
      <c r="B1281">
        <v>23</v>
      </c>
      <c r="C1281">
        <v>2</v>
      </c>
      <c r="D1281">
        <v>101</v>
      </c>
      <c r="E1281">
        <v>202</v>
      </c>
      <c r="F1281">
        <v>217</v>
      </c>
      <c r="G1281" s="1">
        <v>45383</v>
      </c>
      <c r="H1281" t="s">
        <v>11</v>
      </c>
      <c r="I1281">
        <v>2024</v>
      </c>
      <c r="J1281">
        <v>4</v>
      </c>
    </row>
    <row r="1282" spans="1:10" x14ac:dyDescent="0.3">
      <c r="A1282">
        <v>517</v>
      </c>
      <c r="B1282">
        <v>24</v>
      </c>
      <c r="C1282">
        <v>4</v>
      </c>
      <c r="D1282">
        <v>95</v>
      </c>
      <c r="E1282">
        <v>380</v>
      </c>
      <c r="F1282">
        <v>217</v>
      </c>
      <c r="G1282" s="1">
        <v>45383</v>
      </c>
      <c r="H1282" t="s">
        <v>11</v>
      </c>
      <c r="I1282">
        <v>2024</v>
      </c>
      <c r="J1282">
        <v>4</v>
      </c>
    </row>
    <row r="1283" spans="1:10" x14ac:dyDescent="0.3">
      <c r="A1283">
        <v>846</v>
      </c>
      <c r="B1283">
        <v>13</v>
      </c>
      <c r="C1283">
        <v>3</v>
      </c>
      <c r="D1283">
        <v>103</v>
      </c>
      <c r="E1283">
        <v>309</v>
      </c>
      <c r="F1283">
        <v>76</v>
      </c>
      <c r="G1283" s="1">
        <v>45593</v>
      </c>
      <c r="H1283" t="s">
        <v>11</v>
      </c>
      <c r="I1283">
        <v>2024</v>
      </c>
      <c r="J1283">
        <v>10</v>
      </c>
    </row>
    <row r="1284" spans="1:10" x14ac:dyDescent="0.3">
      <c r="A1284">
        <v>888</v>
      </c>
      <c r="B1284">
        <v>5</v>
      </c>
      <c r="C1284">
        <v>1</v>
      </c>
      <c r="D1284">
        <v>71</v>
      </c>
      <c r="E1284">
        <v>71</v>
      </c>
      <c r="F1284">
        <v>111</v>
      </c>
      <c r="G1284" s="1">
        <v>45367</v>
      </c>
      <c r="H1284" t="s">
        <v>11</v>
      </c>
      <c r="I1284">
        <v>2024</v>
      </c>
      <c r="J1284">
        <v>3</v>
      </c>
    </row>
    <row r="1285" spans="1:10" x14ac:dyDescent="0.3">
      <c r="A1285">
        <v>888</v>
      </c>
      <c r="B1285">
        <v>36</v>
      </c>
      <c r="C1285">
        <v>4</v>
      </c>
      <c r="D1285">
        <v>113</v>
      </c>
      <c r="E1285">
        <v>452</v>
      </c>
      <c r="F1285">
        <v>111</v>
      </c>
      <c r="G1285" s="1">
        <v>45367</v>
      </c>
      <c r="H1285" t="s">
        <v>11</v>
      </c>
      <c r="I1285">
        <v>2024</v>
      </c>
      <c r="J1285">
        <v>3</v>
      </c>
    </row>
    <row r="1286" spans="1:10" x14ac:dyDescent="0.3">
      <c r="A1286">
        <v>888</v>
      </c>
      <c r="B1286">
        <v>4</v>
      </c>
      <c r="C1286">
        <v>1</v>
      </c>
      <c r="D1286">
        <v>74</v>
      </c>
      <c r="E1286">
        <v>74</v>
      </c>
      <c r="F1286">
        <v>111</v>
      </c>
      <c r="G1286" s="1">
        <v>45367</v>
      </c>
      <c r="H1286" t="s">
        <v>11</v>
      </c>
      <c r="I1286">
        <v>2024</v>
      </c>
      <c r="J1286">
        <v>3</v>
      </c>
    </row>
    <row r="1287" spans="1:10" x14ac:dyDescent="0.3">
      <c r="A1287">
        <v>318</v>
      </c>
      <c r="B1287">
        <v>6</v>
      </c>
      <c r="C1287">
        <v>4</v>
      </c>
      <c r="D1287">
        <v>24</v>
      </c>
      <c r="E1287">
        <v>96</v>
      </c>
      <c r="F1287">
        <v>142</v>
      </c>
      <c r="G1287" s="1">
        <v>45624</v>
      </c>
      <c r="H1287" t="s">
        <v>11</v>
      </c>
      <c r="I1287">
        <v>2024</v>
      </c>
      <c r="J1287">
        <v>11</v>
      </c>
    </row>
    <row r="1288" spans="1:10" x14ac:dyDescent="0.3">
      <c r="A1288">
        <v>318</v>
      </c>
      <c r="B1288">
        <v>45</v>
      </c>
      <c r="C1288">
        <v>3</v>
      </c>
      <c r="D1288">
        <v>91</v>
      </c>
      <c r="E1288">
        <v>273</v>
      </c>
      <c r="F1288">
        <v>142</v>
      </c>
      <c r="G1288" s="1">
        <v>45624</v>
      </c>
      <c r="H1288" t="s">
        <v>11</v>
      </c>
      <c r="I1288">
        <v>2024</v>
      </c>
      <c r="J1288">
        <v>11</v>
      </c>
    </row>
    <row r="1289" spans="1:10" x14ac:dyDescent="0.3">
      <c r="A1289">
        <v>318</v>
      </c>
      <c r="B1289">
        <v>2</v>
      </c>
      <c r="C1289">
        <v>5</v>
      </c>
      <c r="D1289">
        <v>55</v>
      </c>
      <c r="E1289">
        <v>275</v>
      </c>
      <c r="F1289">
        <v>142</v>
      </c>
      <c r="G1289" s="1">
        <v>45624</v>
      </c>
      <c r="H1289" t="s">
        <v>11</v>
      </c>
      <c r="I1289">
        <v>2024</v>
      </c>
      <c r="J1289">
        <v>11</v>
      </c>
    </row>
    <row r="1290" spans="1:10" x14ac:dyDescent="0.3">
      <c r="A1290">
        <v>197</v>
      </c>
      <c r="B1290">
        <v>5</v>
      </c>
      <c r="C1290">
        <v>5</v>
      </c>
      <c r="D1290">
        <v>65</v>
      </c>
      <c r="E1290">
        <v>325</v>
      </c>
      <c r="F1290">
        <v>187</v>
      </c>
      <c r="G1290" s="1">
        <v>45399</v>
      </c>
      <c r="H1290" t="s">
        <v>11</v>
      </c>
      <c r="I1290">
        <v>2024</v>
      </c>
      <c r="J1290">
        <v>4</v>
      </c>
    </row>
    <row r="1291" spans="1:10" x14ac:dyDescent="0.3">
      <c r="A1291">
        <v>694</v>
      </c>
      <c r="B1291">
        <v>39</v>
      </c>
      <c r="C1291">
        <v>4</v>
      </c>
      <c r="D1291">
        <v>66</v>
      </c>
      <c r="E1291">
        <v>264</v>
      </c>
      <c r="F1291">
        <v>51</v>
      </c>
      <c r="G1291" s="1">
        <v>45341</v>
      </c>
      <c r="H1291" t="s">
        <v>11</v>
      </c>
      <c r="I1291">
        <v>2024</v>
      </c>
      <c r="J1291">
        <v>2</v>
      </c>
    </row>
    <row r="1292" spans="1:10" x14ac:dyDescent="0.3">
      <c r="A1292">
        <v>694</v>
      </c>
      <c r="B1292">
        <v>31</v>
      </c>
      <c r="C1292">
        <v>1</v>
      </c>
      <c r="D1292">
        <v>46</v>
      </c>
      <c r="E1292">
        <v>46</v>
      </c>
      <c r="F1292">
        <v>51</v>
      </c>
      <c r="G1292" s="1">
        <v>45341</v>
      </c>
      <c r="H1292" t="s">
        <v>11</v>
      </c>
      <c r="I1292">
        <v>2024</v>
      </c>
      <c r="J1292">
        <v>2</v>
      </c>
    </row>
    <row r="1293" spans="1:10" x14ac:dyDescent="0.3">
      <c r="A1293">
        <v>694</v>
      </c>
      <c r="B1293">
        <v>1</v>
      </c>
      <c r="C1293">
        <v>5</v>
      </c>
      <c r="D1293">
        <v>21</v>
      </c>
      <c r="E1293">
        <v>105</v>
      </c>
      <c r="F1293">
        <v>51</v>
      </c>
      <c r="G1293" s="1">
        <v>45341</v>
      </c>
      <c r="H1293" t="s">
        <v>11</v>
      </c>
      <c r="I1293">
        <v>2024</v>
      </c>
      <c r="J1293">
        <v>2</v>
      </c>
    </row>
    <row r="1294" spans="1:10" x14ac:dyDescent="0.3">
      <c r="A1294">
        <v>694</v>
      </c>
      <c r="B1294">
        <v>16</v>
      </c>
      <c r="C1294">
        <v>3</v>
      </c>
      <c r="D1294">
        <v>69</v>
      </c>
      <c r="E1294">
        <v>207</v>
      </c>
      <c r="F1294">
        <v>51</v>
      </c>
      <c r="G1294" s="1">
        <v>45341</v>
      </c>
      <c r="H1294" t="s">
        <v>11</v>
      </c>
      <c r="I1294">
        <v>2024</v>
      </c>
      <c r="J1294">
        <v>2</v>
      </c>
    </row>
    <row r="1295" spans="1:10" x14ac:dyDescent="0.3">
      <c r="A1295">
        <v>29</v>
      </c>
      <c r="B1295">
        <v>47</v>
      </c>
      <c r="C1295">
        <v>2</v>
      </c>
      <c r="D1295">
        <v>96</v>
      </c>
      <c r="E1295">
        <v>192</v>
      </c>
      <c r="F1295">
        <v>175</v>
      </c>
      <c r="G1295" s="1">
        <v>45612</v>
      </c>
      <c r="H1295" t="s">
        <v>11</v>
      </c>
      <c r="I1295">
        <v>2024</v>
      </c>
      <c r="J1295">
        <v>11</v>
      </c>
    </row>
    <row r="1296" spans="1:10" x14ac:dyDescent="0.3">
      <c r="A1296">
        <v>29</v>
      </c>
      <c r="B1296">
        <v>34</v>
      </c>
      <c r="C1296">
        <v>3</v>
      </c>
      <c r="D1296">
        <v>16</v>
      </c>
      <c r="E1296">
        <v>48</v>
      </c>
      <c r="F1296">
        <v>175</v>
      </c>
      <c r="G1296" s="1">
        <v>45612</v>
      </c>
      <c r="H1296" t="s">
        <v>11</v>
      </c>
      <c r="I1296">
        <v>2024</v>
      </c>
      <c r="J1296">
        <v>11</v>
      </c>
    </row>
    <row r="1297" spans="1:10" x14ac:dyDescent="0.3">
      <c r="A1297">
        <v>338</v>
      </c>
      <c r="B1297">
        <v>17</v>
      </c>
      <c r="C1297">
        <v>2</v>
      </c>
      <c r="D1297">
        <v>64</v>
      </c>
      <c r="E1297">
        <v>128</v>
      </c>
      <c r="F1297">
        <v>60</v>
      </c>
      <c r="G1297" s="1">
        <v>45553</v>
      </c>
      <c r="H1297" t="s">
        <v>11</v>
      </c>
      <c r="I1297">
        <v>2024</v>
      </c>
      <c r="J1297">
        <v>9</v>
      </c>
    </row>
    <row r="1298" spans="1:10" x14ac:dyDescent="0.3">
      <c r="A1298">
        <v>338</v>
      </c>
      <c r="B1298">
        <v>4</v>
      </c>
      <c r="C1298">
        <v>2</v>
      </c>
      <c r="D1298">
        <v>50</v>
      </c>
      <c r="E1298">
        <v>100</v>
      </c>
      <c r="F1298">
        <v>60</v>
      </c>
      <c r="G1298" s="1">
        <v>45553</v>
      </c>
      <c r="H1298" t="s">
        <v>11</v>
      </c>
      <c r="I1298">
        <v>2024</v>
      </c>
      <c r="J1298">
        <v>9</v>
      </c>
    </row>
    <row r="1299" spans="1:10" x14ac:dyDescent="0.3">
      <c r="A1299">
        <v>338</v>
      </c>
      <c r="B1299">
        <v>46</v>
      </c>
      <c r="C1299">
        <v>2</v>
      </c>
      <c r="D1299">
        <v>37</v>
      </c>
      <c r="E1299">
        <v>74</v>
      </c>
      <c r="F1299">
        <v>60</v>
      </c>
      <c r="G1299" s="1">
        <v>45553</v>
      </c>
      <c r="H1299" t="s">
        <v>11</v>
      </c>
      <c r="I1299">
        <v>2024</v>
      </c>
      <c r="J1299">
        <v>9</v>
      </c>
    </row>
    <row r="1300" spans="1:10" x14ac:dyDescent="0.3">
      <c r="A1300">
        <v>338</v>
      </c>
      <c r="B1300">
        <v>37</v>
      </c>
      <c r="C1300">
        <v>4</v>
      </c>
      <c r="D1300">
        <v>97</v>
      </c>
      <c r="E1300">
        <v>388</v>
      </c>
      <c r="F1300">
        <v>60</v>
      </c>
      <c r="G1300" s="1">
        <v>45553</v>
      </c>
      <c r="H1300" t="s">
        <v>11</v>
      </c>
      <c r="I1300">
        <v>2024</v>
      </c>
      <c r="J1300">
        <v>9</v>
      </c>
    </row>
    <row r="1301" spans="1:10" x14ac:dyDescent="0.3">
      <c r="A1301">
        <v>831</v>
      </c>
      <c r="B1301">
        <v>2</v>
      </c>
      <c r="C1301">
        <v>5</v>
      </c>
      <c r="D1301">
        <v>70</v>
      </c>
      <c r="E1301">
        <v>350</v>
      </c>
      <c r="F1301">
        <v>138</v>
      </c>
      <c r="G1301" s="1">
        <v>45466</v>
      </c>
      <c r="H1301" t="s">
        <v>11</v>
      </c>
      <c r="I1301">
        <v>2024</v>
      </c>
      <c r="J1301">
        <v>6</v>
      </c>
    </row>
    <row r="1302" spans="1:10" x14ac:dyDescent="0.3">
      <c r="A1302">
        <v>831</v>
      </c>
      <c r="B1302">
        <v>1</v>
      </c>
      <c r="C1302">
        <v>4</v>
      </c>
      <c r="D1302">
        <v>68</v>
      </c>
      <c r="E1302">
        <v>272</v>
      </c>
      <c r="F1302">
        <v>138</v>
      </c>
      <c r="G1302" s="1">
        <v>45466</v>
      </c>
      <c r="H1302" t="s">
        <v>11</v>
      </c>
      <c r="I1302">
        <v>2024</v>
      </c>
      <c r="J1302">
        <v>6</v>
      </c>
    </row>
    <row r="1303" spans="1:10" x14ac:dyDescent="0.3">
      <c r="A1303">
        <v>392</v>
      </c>
      <c r="B1303">
        <v>8</v>
      </c>
      <c r="C1303">
        <v>3</v>
      </c>
      <c r="D1303">
        <v>57</v>
      </c>
      <c r="E1303">
        <v>171</v>
      </c>
      <c r="F1303">
        <v>100</v>
      </c>
      <c r="G1303" s="1">
        <v>45331</v>
      </c>
      <c r="H1303" t="s">
        <v>11</v>
      </c>
      <c r="I1303">
        <v>2024</v>
      </c>
      <c r="J1303">
        <v>2</v>
      </c>
    </row>
    <row r="1304" spans="1:10" x14ac:dyDescent="0.3">
      <c r="A1304">
        <v>392</v>
      </c>
      <c r="B1304">
        <v>42</v>
      </c>
      <c r="C1304">
        <v>3</v>
      </c>
      <c r="D1304">
        <v>97</v>
      </c>
      <c r="E1304">
        <v>291</v>
      </c>
      <c r="F1304">
        <v>100</v>
      </c>
      <c r="G1304" s="1">
        <v>45331</v>
      </c>
      <c r="H1304" t="s">
        <v>11</v>
      </c>
      <c r="I1304">
        <v>2024</v>
      </c>
      <c r="J1304">
        <v>2</v>
      </c>
    </row>
    <row r="1305" spans="1:10" x14ac:dyDescent="0.3">
      <c r="A1305">
        <v>669</v>
      </c>
      <c r="B1305">
        <v>33</v>
      </c>
      <c r="C1305">
        <v>3</v>
      </c>
      <c r="D1305">
        <v>24</v>
      </c>
      <c r="E1305">
        <v>72</v>
      </c>
      <c r="F1305">
        <v>273</v>
      </c>
      <c r="G1305" s="1">
        <v>45441</v>
      </c>
      <c r="H1305" t="s">
        <v>11</v>
      </c>
      <c r="I1305">
        <v>2024</v>
      </c>
      <c r="J1305">
        <v>5</v>
      </c>
    </row>
    <row r="1306" spans="1:10" x14ac:dyDescent="0.3">
      <c r="A1306">
        <v>669</v>
      </c>
      <c r="B1306">
        <v>9</v>
      </c>
      <c r="C1306">
        <v>2</v>
      </c>
      <c r="D1306">
        <v>11</v>
      </c>
      <c r="E1306">
        <v>22</v>
      </c>
      <c r="F1306">
        <v>273</v>
      </c>
      <c r="G1306" s="1">
        <v>45441</v>
      </c>
      <c r="H1306" t="s">
        <v>11</v>
      </c>
      <c r="I1306">
        <v>2024</v>
      </c>
      <c r="J1306">
        <v>5</v>
      </c>
    </row>
    <row r="1307" spans="1:10" x14ac:dyDescent="0.3">
      <c r="A1307">
        <v>425</v>
      </c>
      <c r="B1307">
        <v>38</v>
      </c>
      <c r="C1307">
        <v>4</v>
      </c>
      <c r="D1307">
        <v>112</v>
      </c>
      <c r="E1307">
        <v>448</v>
      </c>
      <c r="F1307">
        <v>285</v>
      </c>
      <c r="G1307" s="1">
        <v>45482</v>
      </c>
      <c r="H1307" t="s">
        <v>11</v>
      </c>
      <c r="I1307">
        <v>2024</v>
      </c>
      <c r="J1307">
        <v>7</v>
      </c>
    </row>
    <row r="1308" spans="1:10" x14ac:dyDescent="0.3">
      <c r="A1308">
        <v>425</v>
      </c>
      <c r="B1308">
        <v>22</v>
      </c>
      <c r="C1308">
        <v>2</v>
      </c>
      <c r="D1308">
        <v>100</v>
      </c>
      <c r="E1308">
        <v>200</v>
      </c>
      <c r="F1308">
        <v>285</v>
      </c>
      <c r="G1308" s="1">
        <v>45482</v>
      </c>
      <c r="H1308" t="s">
        <v>11</v>
      </c>
      <c r="I1308">
        <v>2024</v>
      </c>
      <c r="J1308">
        <v>7</v>
      </c>
    </row>
    <row r="1309" spans="1:10" x14ac:dyDescent="0.3">
      <c r="A1309">
        <v>425</v>
      </c>
      <c r="B1309">
        <v>23</v>
      </c>
      <c r="C1309">
        <v>4</v>
      </c>
      <c r="D1309">
        <v>65</v>
      </c>
      <c r="E1309">
        <v>260</v>
      </c>
      <c r="F1309">
        <v>285</v>
      </c>
      <c r="G1309" s="1">
        <v>45482</v>
      </c>
      <c r="H1309" t="s">
        <v>11</v>
      </c>
      <c r="I1309">
        <v>2024</v>
      </c>
      <c r="J1309">
        <v>7</v>
      </c>
    </row>
    <row r="1310" spans="1:10" x14ac:dyDescent="0.3">
      <c r="A1310">
        <v>425</v>
      </c>
      <c r="B1310">
        <v>39</v>
      </c>
      <c r="C1310">
        <v>4</v>
      </c>
      <c r="D1310">
        <v>66</v>
      </c>
      <c r="E1310">
        <v>264</v>
      </c>
      <c r="F1310">
        <v>285</v>
      </c>
      <c r="G1310" s="1">
        <v>45482</v>
      </c>
      <c r="H1310" t="s">
        <v>11</v>
      </c>
      <c r="I1310">
        <v>2024</v>
      </c>
      <c r="J1310">
        <v>7</v>
      </c>
    </row>
    <row r="1311" spans="1:10" x14ac:dyDescent="0.3">
      <c r="A1311">
        <v>731</v>
      </c>
      <c r="B1311">
        <v>45</v>
      </c>
      <c r="C1311">
        <v>2</v>
      </c>
      <c r="D1311">
        <v>100</v>
      </c>
      <c r="E1311">
        <v>200</v>
      </c>
      <c r="F1311">
        <v>28</v>
      </c>
      <c r="G1311" s="1">
        <v>45607</v>
      </c>
      <c r="H1311" t="s">
        <v>11</v>
      </c>
      <c r="I1311">
        <v>2024</v>
      </c>
      <c r="J1311">
        <v>11</v>
      </c>
    </row>
    <row r="1312" spans="1:10" x14ac:dyDescent="0.3">
      <c r="A1312">
        <v>731</v>
      </c>
      <c r="B1312">
        <v>36</v>
      </c>
      <c r="C1312">
        <v>2</v>
      </c>
      <c r="D1312">
        <v>12</v>
      </c>
      <c r="E1312">
        <v>24</v>
      </c>
      <c r="F1312">
        <v>28</v>
      </c>
      <c r="G1312" s="1">
        <v>45607</v>
      </c>
      <c r="H1312" t="s">
        <v>11</v>
      </c>
      <c r="I1312">
        <v>2024</v>
      </c>
      <c r="J1312">
        <v>11</v>
      </c>
    </row>
    <row r="1313" spans="1:10" x14ac:dyDescent="0.3">
      <c r="A1313">
        <v>204</v>
      </c>
      <c r="B1313">
        <v>13</v>
      </c>
      <c r="C1313">
        <v>5</v>
      </c>
      <c r="D1313">
        <v>36</v>
      </c>
      <c r="E1313">
        <v>180</v>
      </c>
      <c r="F1313">
        <v>128</v>
      </c>
      <c r="G1313" s="1">
        <v>45335</v>
      </c>
      <c r="H1313" t="s">
        <v>11</v>
      </c>
      <c r="I1313">
        <v>2024</v>
      </c>
      <c r="J1313">
        <v>2</v>
      </c>
    </row>
    <row r="1314" spans="1:10" x14ac:dyDescent="0.3">
      <c r="A1314">
        <v>204</v>
      </c>
      <c r="B1314">
        <v>28</v>
      </c>
      <c r="C1314">
        <v>4</v>
      </c>
      <c r="D1314">
        <v>66</v>
      </c>
      <c r="E1314">
        <v>264</v>
      </c>
      <c r="F1314">
        <v>128</v>
      </c>
      <c r="G1314" s="1">
        <v>45335</v>
      </c>
      <c r="H1314" t="s">
        <v>11</v>
      </c>
      <c r="I1314">
        <v>2024</v>
      </c>
      <c r="J1314">
        <v>2</v>
      </c>
    </row>
    <row r="1315" spans="1:10" x14ac:dyDescent="0.3">
      <c r="A1315">
        <v>583</v>
      </c>
      <c r="B1315">
        <v>13</v>
      </c>
      <c r="C1315">
        <v>1</v>
      </c>
      <c r="D1315">
        <v>84</v>
      </c>
      <c r="E1315">
        <v>84</v>
      </c>
      <c r="F1315">
        <v>212</v>
      </c>
      <c r="G1315" s="1">
        <v>45393</v>
      </c>
      <c r="H1315" t="s">
        <v>11</v>
      </c>
      <c r="I1315">
        <v>2024</v>
      </c>
      <c r="J1315">
        <v>4</v>
      </c>
    </row>
    <row r="1316" spans="1:10" x14ac:dyDescent="0.3">
      <c r="A1316">
        <v>583</v>
      </c>
      <c r="B1316">
        <v>16</v>
      </c>
      <c r="C1316">
        <v>1</v>
      </c>
      <c r="D1316">
        <v>97</v>
      </c>
      <c r="E1316">
        <v>97</v>
      </c>
      <c r="F1316">
        <v>212</v>
      </c>
      <c r="G1316" s="1">
        <v>45393</v>
      </c>
      <c r="H1316" t="s">
        <v>11</v>
      </c>
      <c r="I1316">
        <v>2024</v>
      </c>
      <c r="J1316">
        <v>4</v>
      </c>
    </row>
    <row r="1317" spans="1:10" x14ac:dyDescent="0.3">
      <c r="A1317">
        <v>778</v>
      </c>
      <c r="B1317">
        <v>28</v>
      </c>
      <c r="C1317">
        <v>2</v>
      </c>
      <c r="D1317">
        <v>80</v>
      </c>
      <c r="E1317">
        <v>160</v>
      </c>
      <c r="F1317">
        <v>282</v>
      </c>
      <c r="G1317" s="1">
        <v>45447</v>
      </c>
      <c r="H1317" t="s">
        <v>11</v>
      </c>
      <c r="I1317">
        <v>2024</v>
      </c>
      <c r="J1317">
        <v>6</v>
      </c>
    </row>
    <row r="1318" spans="1:10" x14ac:dyDescent="0.3">
      <c r="A1318">
        <v>778</v>
      </c>
      <c r="B1318">
        <v>42</v>
      </c>
      <c r="C1318">
        <v>2</v>
      </c>
      <c r="D1318">
        <v>64</v>
      </c>
      <c r="E1318">
        <v>128</v>
      </c>
      <c r="F1318">
        <v>282</v>
      </c>
      <c r="G1318" s="1">
        <v>45447</v>
      </c>
      <c r="H1318" t="s">
        <v>11</v>
      </c>
      <c r="I1318">
        <v>2024</v>
      </c>
      <c r="J1318">
        <v>6</v>
      </c>
    </row>
    <row r="1319" spans="1:10" x14ac:dyDescent="0.3">
      <c r="A1319">
        <v>98</v>
      </c>
      <c r="B1319">
        <v>47</v>
      </c>
      <c r="C1319">
        <v>5</v>
      </c>
      <c r="D1319">
        <v>92</v>
      </c>
      <c r="E1319">
        <v>460</v>
      </c>
      <c r="F1319">
        <v>214</v>
      </c>
      <c r="G1319" s="1">
        <v>45331</v>
      </c>
      <c r="H1319" t="s">
        <v>11</v>
      </c>
      <c r="I1319">
        <v>2024</v>
      </c>
      <c r="J1319">
        <v>2</v>
      </c>
    </row>
    <row r="1320" spans="1:10" x14ac:dyDescent="0.3">
      <c r="A1320">
        <v>98</v>
      </c>
      <c r="B1320">
        <v>15</v>
      </c>
      <c r="C1320">
        <v>2</v>
      </c>
      <c r="D1320">
        <v>84</v>
      </c>
      <c r="E1320">
        <v>168</v>
      </c>
      <c r="F1320">
        <v>214</v>
      </c>
      <c r="G1320" s="1">
        <v>45331</v>
      </c>
      <c r="H1320" t="s">
        <v>11</v>
      </c>
      <c r="I1320">
        <v>2024</v>
      </c>
      <c r="J1320">
        <v>2</v>
      </c>
    </row>
    <row r="1321" spans="1:10" x14ac:dyDescent="0.3">
      <c r="A1321">
        <v>345</v>
      </c>
      <c r="B1321">
        <v>45</v>
      </c>
      <c r="C1321">
        <v>4</v>
      </c>
      <c r="D1321">
        <v>66</v>
      </c>
      <c r="E1321">
        <v>264</v>
      </c>
      <c r="F1321">
        <v>144</v>
      </c>
      <c r="G1321" s="1">
        <v>45300</v>
      </c>
      <c r="H1321" t="s">
        <v>11</v>
      </c>
      <c r="I1321">
        <v>2024</v>
      </c>
      <c r="J1321">
        <v>1</v>
      </c>
    </row>
    <row r="1322" spans="1:10" x14ac:dyDescent="0.3">
      <c r="A1322">
        <v>803</v>
      </c>
      <c r="B1322">
        <v>22</v>
      </c>
      <c r="C1322">
        <v>4</v>
      </c>
      <c r="D1322">
        <v>102</v>
      </c>
      <c r="E1322">
        <v>408</v>
      </c>
      <c r="F1322">
        <v>118</v>
      </c>
      <c r="G1322" s="1">
        <v>45542</v>
      </c>
      <c r="H1322" t="s">
        <v>11</v>
      </c>
      <c r="I1322">
        <v>2024</v>
      </c>
      <c r="J1322">
        <v>9</v>
      </c>
    </row>
    <row r="1323" spans="1:10" x14ac:dyDescent="0.3">
      <c r="A1323">
        <v>803</v>
      </c>
      <c r="B1323">
        <v>39</v>
      </c>
      <c r="C1323">
        <v>4</v>
      </c>
      <c r="D1323">
        <v>118</v>
      </c>
      <c r="E1323">
        <v>472</v>
      </c>
      <c r="F1323">
        <v>118</v>
      </c>
      <c r="G1323" s="1">
        <v>45542</v>
      </c>
      <c r="H1323" t="s">
        <v>11</v>
      </c>
      <c r="I1323">
        <v>2024</v>
      </c>
      <c r="J1323">
        <v>9</v>
      </c>
    </row>
    <row r="1324" spans="1:10" x14ac:dyDescent="0.3">
      <c r="A1324">
        <v>803</v>
      </c>
      <c r="B1324">
        <v>42</v>
      </c>
      <c r="C1324">
        <v>1</v>
      </c>
      <c r="D1324">
        <v>77</v>
      </c>
      <c r="E1324">
        <v>77</v>
      </c>
      <c r="F1324">
        <v>118</v>
      </c>
      <c r="G1324" s="1">
        <v>45542</v>
      </c>
      <c r="H1324" t="s">
        <v>11</v>
      </c>
      <c r="I1324">
        <v>2024</v>
      </c>
      <c r="J1324">
        <v>9</v>
      </c>
    </row>
    <row r="1325" spans="1:10" x14ac:dyDescent="0.3">
      <c r="A1325">
        <v>803</v>
      </c>
      <c r="B1325">
        <v>32</v>
      </c>
      <c r="C1325">
        <v>5</v>
      </c>
      <c r="D1325">
        <v>61</v>
      </c>
      <c r="E1325">
        <v>305</v>
      </c>
      <c r="F1325">
        <v>118</v>
      </c>
      <c r="G1325" s="1">
        <v>45542</v>
      </c>
      <c r="H1325" t="s">
        <v>11</v>
      </c>
      <c r="I1325">
        <v>2024</v>
      </c>
      <c r="J1325">
        <v>9</v>
      </c>
    </row>
    <row r="1326" spans="1:10" x14ac:dyDescent="0.3">
      <c r="A1326">
        <v>636</v>
      </c>
      <c r="B1326">
        <v>8</v>
      </c>
      <c r="C1326">
        <v>1</v>
      </c>
      <c r="D1326">
        <v>110</v>
      </c>
      <c r="E1326">
        <v>110</v>
      </c>
      <c r="F1326">
        <v>250</v>
      </c>
      <c r="G1326" s="1">
        <v>45542</v>
      </c>
      <c r="H1326" t="s">
        <v>11</v>
      </c>
      <c r="I1326">
        <v>2024</v>
      </c>
      <c r="J1326">
        <v>9</v>
      </c>
    </row>
    <row r="1327" spans="1:10" x14ac:dyDescent="0.3">
      <c r="A1327">
        <v>939</v>
      </c>
      <c r="B1327">
        <v>23</v>
      </c>
      <c r="C1327">
        <v>1</v>
      </c>
      <c r="D1327">
        <v>82</v>
      </c>
      <c r="E1327">
        <v>82</v>
      </c>
      <c r="F1327">
        <v>293</v>
      </c>
      <c r="G1327" s="1">
        <v>45625</v>
      </c>
      <c r="H1327" t="s">
        <v>11</v>
      </c>
      <c r="I1327">
        <v>2024</v>
      </c>
      <c r="J1327">
        <v>11</v>
      </c>
    </row>
    <row r="1328" spans="1:10" x14ac:dyDescent="0.3">
      <c r="A1328">
        <v>939</v>
      </c>
      <c r="B1328">
        <v>49</v>
      </c>
      <c r="C1328">
        <v>5</v>
      </c>
      <c r="D1328">
        <v>76</v>
      </c>
      <c r="E1328">
        <v>380</v>
      </c>
      <c r="F1328">
        <v>293</v>
      </c>
      <c r="G1328" s="1">
        <v>45625</v>
      </c>
      <c r="H1328" t="s">
        <v>11</v>
      </c>
      <c r="I1328">
        <v>2024</v>
      </c>
      <c r="J1328">
        <v>11</v>
      </c>
    </row>
    <row r="1329" spans="1:10" x14ac:dyDescent="0.3">
      <c r="A1329">
        <v>439</v>
      </c>
      <c r="B1329">
        <v>43</v>
      </c>
      <c r="C1329">
        <v>1</v>
      </c>
      <c r="D1329">
        <v>50</v>
      </c>
      <c r="E1329">
        <v>50</v>
      </c>
      <c r="F1329">
        <v>114</v>
      </c>
      <c r="G1329" s="1">
        <v>45330</v>
      </c>
      <c r="H1329" t="s">
        <v>11</v>
      </c>
      <c r="I1329">
        <v>2024</v>
      </c>
      <c r="J1329">
        <v>2</v>
      </c>
    </row>
    <row r="1330" spans="1:10" x14ac:dyDescent="0.3">
      <c r="A1330">
        <v>439</v>
      </c>
      <c r="B1330">
        <v>6</v>
      </c>
      <c r="C1330">
        <v>1</v>
      </c>
      <c r="D1330">
        <v>43</v>
      </c>
      <c r="E1330">
        <v>43</v>
      </c>
      <c r="F1330">
        <v>114</v>
      </c>
      <c r="G1330" s="1">
        <v>45330</v>
      </c>
      <c r="H1330" t="s">
        <v>11</v>
      </c>
      <c r="I1330">
        <v>2024</v>
      </c>
      <c r="J1330">
        <v>2</v>
      </c>
    </row>
    <row r="1331" spans="1:10" x14ac:dyDescent="0.3">
      <c r="A1331">
        <v>439</v>
      </c>
      <c r="B1331">
        <v>26</v>
      </c>
      <c r="C1331">
        <v>5</v>
      </c>
      <c r="D1331">
        <v>30</v>
      </c>
      <c r="E1331">
        <v>150</v>
      </c>
      <c r="F1331">
        <v>114</v>
      </c>
      <c r="G1331" s="1">
        <v>45330</v>
      </c>
      <c r="H1331" t="s">
        <v>11</v>
      </c>
      <c r="I1331">
        <v>2024</v>
      </c>
      <c r="J1331">
        <v>2</v>
      </c>
    </row>
    <row r="1332" spans="1:10" x14ac:dyDescent="0.3">
      <c r="A1332">
        <v>219</v>
      </c>
      <c r="B1332">
        <v>28</v>
      </c>
      <c r="C1332">
        <v>5</v>
      </c>
      <c r="D1332">
        <v>35</v>
      </c>
      <c r="E1332">
        <v>175</v>
      </c>
      <c r="F1332">
        <v>37</v>
      </c>
      <c r="G1332" s="1">
        <v>45506</v>
      </c>
      <c r="H1332" t="s">
        <v>11</v>
      </c>
      <c r="I1332">
        <v>2024</v>
      </c>
      <c r="J1332">
        <v>8</v>
      </c>
    </row>
    <row r="1333" spans="1:10" x14ac:dyDescent="0.3">
      <c r="A1333">
        <v>20</v>
      </c>
      <c r="B1333">
        <v>48</v>
      </c>
      <c r="C1333">
        <v>1</v>
      </c>
      <c r="D1333">
        <v>94</v>
      </c>
      <c r="E1333">
        <v>94</v>
      </c>
      <c r="F1333">
        <v>22</v>
      </c>
      <c r="G1333" s="1">
        <v>45579</v>
      </c>
      <c r="H1333" t="s">
        <v>11</v>
      </c>
      <c r="I1333">
        <v>2024</v>
      </c>
      <c r="J1333">
        <v>10</v>
      </c>
    </row>
    <row r="1334" spans="1:10" x14ac:dyDescent="0.3">
      <c r="A1334">
        <v>148</v>
      </c>
      <c r="B1334">
        <v>31</v>
      </c>
      <c r="C1334">
        <v>5</v>
      </c>
      <c r="D1334">
        <v>37</v>
      </c>
      <c r="E1334">
        <v>185</v>
      </c>
      <c r="F1334">
        <v>259</v>
      </c>
      <c r="G1334" s="1">
        <v>45484</v>
      </c>
      <c r="H1334" t="s">
        <v>11</v>
      </c>
      <c r="I1334">
        <v>2024</v>
      </c>
      <c r="J1334">
        <v>7</v>
      </c>
    </row>
    <row r="1335" spans="1:10" x14ac:dyDescent="0.3">
      <c r="A1335">
        <v>834</v>
      </c>
      <c r="B1335">
        <v>11</v>
      </c>
      <c r="C1335">
        <v>3</v>
      </c>
      <c r="D1335">
        <v>47</v>
      </c>
      <c r="E1335">
        <v>141</v>
      </c>
      <c r="F1335">
        <v>168</v>
      </c>
      <c r="G1335" s="1">
        <v>45602</v>
      </c>
      <c r="H1335" t="s">
        <v>11</v>
      </c>
      <c r="I1335">
        <v>2024</v>
      </c>
      <c r="J1335">
        <v>11</v>
      </c>
    </row>
    <row r="1336" spans="1:10" x14ac:dyDescent="0.3">
      <c r="A1336">
        <v>834</v>
      </c>
      <c r="B1336">
        <v>14</v>
      </c>
      <c r="C1336">
        <v>4</v>
      </c>
      <c r="D1336">
        <v>101</v>
      </c>
      <c r="E1336">
        <v>404</v>
      </c>
      <c r="F1336">
        <v>168</v>
      </c>
      <c r="G1336" s="1">
        <v>45602</v>
      </c>
      <c r="H1336" t="s">
        <v>11</v>
      </c>
      <c r="I1336">
        <v>2024</v>
      </c>
      <c r="J1336">
        <v>11</v>
      </c>
    </row>
    <row r="1337" spans="1:10" x14ac:dyDescent="0.3">
      <c r="A1337">
        <v>834</v>
      </c>
      <c r="B1337">
        <v>42</v>
      </c>
      <c r="C1337">
        <v>5</v>
      </c>
      <c r="D1337">
        <v>76</v>
      </c>
      <c r="E1337">
        <v>380</v>
      </c>
      <c r="F1337">
        <v>168</v>
      </c>
      <c r="G1337" s="1">
        <v>45602</v>
      </c>
      <c r="H1337" t="s">
        <v>11</v>
      </c>
      <c r="I1337">
        <v>2024</v>
      </c>
      <c r="J1337">
        <v>11</v>
      </c>
    </row>
    <row r="1338" spans="1:10" x14ac:dyDescent="0.3">
      <c r="A1338">
        <v>834</v>
      </c>
      <c r="B1338">
        <v>18</v>
      </c>
      <c r="C1338">
        <v>2</v>
      </c>
      <c r="D1338">
        <v>33</v>
      </c>
      <c r="E1338">
        <v>66</v>
      </c>
      <c r="F1338">
        <v>168</v>
      </c>
      <c r="G1338" s="1">
        <v>45602</v>
      </c>
      <c r="H1338" t="s">
        <v>11</v>
      </c>
      <c r="I1338">
        <v>2024</v>
      </c>
      <c r="J1338">
        <v>11</v>
      </c>
    </row>
    <row r="1339" spans="1:10" x14ac:dyDescent="0.3">
      <c r="A1339">
        <v>309</v>
      </c>
      <c r="B1339">
        <v>34</v>
      </c>
      <c r="C1339">
        <v>2</v>
      </c>
      <c r="D1339">
        <v>74</v>
      </c>
      <c r="E1339">
        <v>148</v>
      </c>
      <c r="F1339">
        <v>39</v>
      </c>
      <c r="G1339" s="1">
        <v>45584</v>
      </c>
      <c r="H1339" t="s">
        <v>11</v>
      </c>
      <c r="I1339">
        <v>2024</v>
      </c>
      <c r="J1339">
        <v>10</v>
      </c>
    </row>
    <row r="1340" spans="1:10" x14ac:dyDescent="0.3">
      <c r="A1340">
        <v>309</v>
      </c>
      <c r="B1340">
        <v>42</v>
      </c>
      <c r="C1340">
        <v>4</v>
      </c>
      <c r="D1340">
        <v>107</v>
      </c>
      <c r="E1340">
        <v>428</v>
      </c>
      <c r="F1340">
        <v>39</v>
      </c>
      <c r="G1340" s="1">
        <v>45584</v>
      </c>
      <c r="H1340" t="s">
        <v>11</v>
      </c>
      <c r="I1340">
        <v>2024</v>
      </c>
      <c r="J1340">
        <v>10</v>
      </c>
    </row>
    <row r="1341" spans="1:10" x14ac:dyDescent="0.3">
      <c r="A1341">
        <v>802</v>
      </c>
      <c r="B1341">
        <v>43</v>
      </c>
      <c r="C1341">
        <v>1</v>
      </c>
      <c r="D1341">
        <v>27</v>
      </c>
      <c r="E1341">
        <v>27</v>
      </c>
      <c r="F1341">
        <v>134</v>
      </c>
      <c r="G1341" s="1">
        <v>45507</v>
      </c>
      <c r="H1341" t="s">
        <v>11</v>
      </c>
      <c r="I1341">
        <v>2024</v>
      </c>
      <c r="J1341">
        <v>8</v>
      </c>
    </row>
    <row r="1342" spans="1:10" x14ac:dyDescent="0.3">
      <c r="A1342">
        <v>802</v>
      </c>
      <c r="B1342">
        <v>43</v>
      </c>
      <c r="C1342">
        <v>4</v>
      </c>
      <c r="D1342">
        <v>22</v>
      </c>
      <c r="E1342">
        <v>88</v>
      </c>
      <c r="F1342">
        <v>134</v>
      </c>
      <c r="G1342" s="1">
        <v>45507</v>
      </c>
      <c r="H1342" t="s">
        <v>11</v>
      </c>
      <c r="I1342">
        <v>2024</v>
      </c>
      <c r="J1342">
        <v>8</v>
      </c>
    </row>
    <row r="1343" spans="1:10" x14ac:dyDescent="0.3">
      <c r="A1343">
        <v>802</v>
      </c>
      <c r="B1343">
        <v>44</v>
      </c>
      <c r="C1343">
        <v>2</v>
      </c>
      <c r="D1343">
        <v>48</v>
      </c>
      <c r="E1343">
        <v>96</v>
      </c>
      <c r="F1343">
        <v>134</v>
      </c>
      <c r="G1343" s="1">
        <v>45507</v>
      </c>
      <c r="H1343" t="s">
        <v>11</v>
      </c>
      <c r="I1343">
        <v>2024</v>
      </c>
      <c r="J1343">
        <v>8</v>
      </c>
    </row>
    <row r="1344" spans="1:10" x14ac:dyDescent="0.3">
      <c r="A1344">
        <v>918</v>
      </c>
      <c r="B1344">
        <v>19</v>
      </c>
      <c r="C1344">
        <v>1</v>
      </c>
      <c r="D1344">
        <v>72</v>
      </c>
      <c r="E1344">
        <v>72</v>
      </c>
      <c r="F1344">
        <v>243</v>
      </c>
      <c r="G1344" s="1">
        <v>45334</v>
      </c>
      <c r="H1344" t="s">
        <v>11</v>
      </c>
      <c r="I1344">
        <v>2024</v>
      </c>
      <c r="J1344">
        <v>2</v>
      </c>
    </row>
    <row r="1345" spans="1:10" x14ac:dyDescent="0.3">
      <c r="A1345">
        <v>918</v>
      </c>
      <c r="B1345">
        <v>41</v>
      </c>
      <c r="C1345">
        <v>4</v>
      </c>
      <c r="D1345">
        <v>111</v>
      </c>
      <c r="E1345">
        <v>444</v>
      </c>
      <c r="F1345">
        <v>243</v>
      </c>
      <c r="G1345" s="1">
        <v>45334</v>
      </c>
      <c r="H1345" t="s">
        <v>11</v>
      </c>
      <c r="I1345">
        <v>2024</v>
      </c>
      <c r="J1345">
        <v>2</v>
      </c>
    </row>
    <row r="1346" spans="1:10" x14ac:dyDescent="0.3">
      <c r="A1346">
        <v>719</v>
      </c>
      <c r="B1346">
        <v>38</v>
      </c>
      <c r="C1346">
        <v>1</v>
      </c>
      <c r="D1346">
        <v>22</v>
      </c>
      <c r="E1346">
        <v>22</v>
      </c>
      <c r="F1346">
        <v>26</v>
      </c>
      <c r="G1346" s="1">
        <v>45299</v>
      </c>
      <c r="H1346" t="s">
        <v>11</v>
      </c>
      <c r="I1346">
        <v>2024</v>
      </c>
      <c r="J1346">
        <v>1</v>
      </c>
    </row>
    <row r="1347" spans="1:10" x14ac:dyDescent="0.3">
      <c r="A1347">
        <v>719</v>
      </c>
      <c r="B1347">
        <v>21</v>
      </c>
      <c r="C1347">
        <v>2</v>
      </c>
      <c r="D1347">
        <v>29</v>
      </c>
      <c r="E1347">
        <v>58</v>
      </c>
      <c r="F1347">
        <v>26</v>
      </c>
      <c r="G1347" s="1">
        <v>45299</v>
      </c>
      <c r="H1347" t="s">
        <v>11</v>
      </c>
      <c r="I1347">
        <v>2024</v>
      </c>
      <c r="J1347">
        <v>1</v>
      </c>
    </row>
    <row r="1348" spans="1:10" x14ac:dyDescent="0.3">
      <c r="A1348">
        <v>481</v>
      </c>
      <c r="B1348">
        <v>1</v>
      </c>
      <c r="C1348">
        <v>1</v>
      </c>
      <c r="D1348">
        <v>88</v>
      </c>
      <c r="E1348">
        <v>88</v>
      </c>
      <c r="F1348">
        <v>53</v>
      </c>
      <c r="G1348" s="1">
        <v>45411</v>
      </c>
      <c r="H1348" t="s">
        <v>11</v>
      </c>
      <c r="I1348">
        <v>2024</v>
      </c>
      <c r="J1348">
        <v>4</v>
      </c>
    </row>
    <row r="1349" spans="1:10" x14ac:dyDescent="0.3">
      <c r="A1349">
        <v>481</v>
      </c>
      <c r="B1349">
        <v>47</v>
      </c>
      <c r="C1349">
        <v>1</v>
      </c>
      <c r="D1349">
        <v>78</v>
      </c>
      <c r="E1349">
        <v>78</v>
      </c>
      <c r="F1349">
        <v>53</v>
      </c>
      <c r="G1349" s="1">
        <v>45411</v>
      </c>
      <c r="H1349" t="s">
        <v>11</v>
      </c>
      <c r="I1349">
        <v>2024</v>
      </c>
      <c r="J1349">
        <v>4</v>
      </c>
    </row>
    <row r="1350" spans="1:10" x14ac:dyDescent="0.3">
      <c r="A1350">
        <v>258</v>
      </c>
      <c r="B1350">
        <v>25</v>
      </c>
      <c r="C1350">
        <v>2</v>
      </c>
      <c r="D1350">
        <v>19</v>
      </c>
      <c r="E1350">
        <v>38</v>
      </c>
      <c r="F1350">
        <v>51</v>
      </c>
      <c r="G1350" s="1">
        <v>45584</v>
      </c>
      <c r="H1350" t="s">
        <v>11</v>
      </c>
      <c r="I1350">
        <v>2024</v>
      </c>
      <c r="J1350">
        <v>10</v>
      </c>
    </row>
    <row r="1351" spans="1:10" x14ac:dyDescent="0.3">
      <c r="A1351">
        <v>258</v>
      </c>
      <c r="B1351">
        <v>39</v>
      </c>
      <c r="C1351">
        <v>4</v>
      </c>
      <c r="D1351">
        <v>62</v>
      </c>
      <c r="E1351">
        <v>248</v>
      </c>
      <c r="F1351">
        <v>51</v>
      </c>
      <c r="G1351" s="1">
        <v>45584</v>
      </c>
      <c r="H1351" t="s">
        <v>11</v>
      </c>
      <c r="I1351">
        <v>2024</v>
      </c>
      <c r="J1351">
        <v>10</v>
      </c>
    </row>
    <row r="1352" spans="1:10" x14ac:dyDescent="0.3">
      <c r="A1352">
        <v>985</v>
      </c>
      <c r="B1352">
        <v>43</v>
      </c>
      <c r="C1352">
        <v>1</v>
      </c>
      <c r="D1352">
        <v>84</v>
      </c>
      <c r="E1352">
        <v>84</v>
      </c>
      <c r="F1352">
        <v>49</v>
      </c>
      <c r="G1352" s="1">
        <v>45416</v>
      </c>
      <c r="H1352" t="s">
        <v>11</v>
      </c>
      <c r="I1352">
        <v>2024</v>
      </c>
      <c r="J1352">
        <v>5</v>
      </c>
    </row>
    <row r="1353" spans="1:10" x14ac:dyDescent="0.3">
      <c r="A1353">
        <v>821</v>
      </c>
      <c r="B1353">
        <v>46</v>
      </c>
      <c r="C1353">
        <v>1</v>
      </c>
      <c r="D1353">
        <v>71</v>
      </c>
      <c r="E1353">
        <v>71</v>
      </c>
      <c r="F1353">
        <v>90</v>
      </c>
      <c r="G1353" s="1">
        <v>45525</v>
      </c>
      <c r="H1353" t="s">
        <v>11</v>
      </c>
      <c r="I1353">
        <v>2024</v>
      </c>
      <c r="J1353">
        <v>8</v>
      </c>
    </row>
    <row r="1354" spans="1:10" x14ac:dyDescent="0.3">
      <c r="A1354">
        <v>821</v>
      </c>
      <c r="B1354">
        <v>45</v>
      </c>
      <c r="C1354">
        <v>4</v>
      </c>
      <c r="D1354">
        <v>87</v>
      </c>
      <c r="E1354">
        <v>348</v>
      </c>
      <c r="F1354">
        <v>90</v>
      </c>
      <c r="G1354" s="1">
        <v>45525</v>
      </c>
      <c r="H1354" t="s">
        <v>11</v>
      </c>
      <c r="I1354">
        <v>2024</v>
      </c>
      <c r="J1354">
        <v>8</v>
      </c>
    </row>
    <row r="1355" spans="1:10" x14ac:dyDescent="0.3">
      <c r="A1355">
        <v>662</v>
      </c>
      <c r="B1355">
        <v>13</v>
      </c>
      <c r="C1355">
        <v>5</v>
      </c>
      <c r="D1355">
        <v>117</v>
      </c>
      <c r="E1355">
        <v>585</v>
      </c>
      <c r="F1355">
        <v>106</v>
      </c>
      <c r="G1355" s="1">
        <v>45600</v>
      </c>
      <c r="H1355" t="s">
        <v>11</v>
      </c>
      <c r="I1355">
        <v>2024</v>
      </c>
      <c r="J1355">
        <v>11</v>
      </c>
    </row>
    <row r="1356" spans="1:10" x14ac:dyDescent="0.3">
      <c r="A1356">
        <v>662</v>
      </c>
      <c r="B1356">
        <v>18</v>
      </c>
      <c r="C1356">
        <v>2</v>
      </c>
      <c r="D1356">
        <v>103</v>
      </c>
      <c r="E1356">
        <v>206</v>
      </c>
      <c r="F1356">
        <v>106</v>
      </c>
      <c r="G1356" s="1">
        <v>45600</v>
      </c>
      <c r="H1356" t="s">
        <v>11</v>
      </c>
      <c r="I1356">
        <v>2024</v>
      </c>
      <c r="J1356">
        <v>11</v>
      </c>
    </row>
    <row r="1357" spans="1:10" x14ac:dyDescent="0.3">
      <c r="A1357">
        <v>662</v>
      </c>
      <c r="B1357">
        <v>41</v>
      </c>
      <c r="C1357">
        <v>4</v>
      </c>
      <c r="D1357">
        <v>30</v>
      </c>
      <c r="E1357">
        <v>120</v>
      </c>
      <c r="F1357">
        <v>106</v>
      </c>
      <c r="G1357" s="1">
        <v>45600</v>
      </c>
      <c r="H1357" t="s">
        <v>11</v>
      </c>
      <c r="I1357">
        <v>2024</v>
      </c>
      <c r="J1357">
        <v>11</v>
      </c>
    </row>
    <row r="1358" spans="1:10" x14ac:dyDescent="0.3">
      <c r="A1358">
        <v>662</v>
      </c>
      <c r="B1358">
        <v>27</v>
      </c>
      <c r="C1358">
        <v>3</v>
      </c>
      <c r="D1358">
        <v>12</v>
      </c>
      <c r="E1358">
        <v>36</v>
      </c>
      <c r="F1358">
        <v>106</v>
      </c>
      <c r="G1358" s="1">
        <v>45600</v>
      </c>
      <c r="H1358" t="s">
        <v>11</v>
      </c>
      <c r="I1358">
        <v>2024</v>
      </c>
      <c r="J1358">
        <v>11</v>
      </c>
    </row>
    <row r="1359" spans="1:10" x14ac:dyDescent="0.3">
      <c r="A1359">
        <v>284</v>
      </c>
      <c r="B1359">
        <v>23</v>
      </c>
      <c r="C1359">
        <v>2</v>
      </c>
      <c r="D1359">
        <v>59</v>
      </c>
      <c r="E1359">
        <v>118</v>
      </c>
      <c r="F1359">
        <v>99</v>
      </c>
      <c r="G1359" s="1">
        <v>45609</v>
      </c>
      <c r="H1359" t="s">
        <v>11</v>
      </c>
      <c r="I1359">
        <v>2024</v>
      </c>
      <c r="J1359">
        <v>11</v>
      </c>
    </row>
    <row r="1360" spans="1:10" x14ac:dyDescent="0.3">
      <c r="A1360">
        <v>449</v>
      </c>
      <c r="B1360">
        <v>45</v>
      </c>
      <c r="C1360">
        <v>3</v>
      </c>
      <c r="D1360">
        <v>71</v>
      </c>
      <c r="E1360">
        <v>213</v>
      </c>
      <c r="F1360">
        <v>36</v>
      </c>
      <c r="G1360" s="1">
        <v>45337</v>
      </c>
      <c r="H1360" t="s">
        <v>11</v>
      </c>
      <c r="I1360">
        <v>2024</v>
      </c>
      <c r="J1360">
        <v>2</v>
      </c>
    </row>
    <row r="1361" spans="1:10" x14ac:dyDescent="0.3">
      <c r="A1361">
        <v>449</v>
      </c>
      <c r="B1361">
        <v>46</v>
      </c>
      <c r="C1361">
        <v>3</v>
      </c>
      <c r="D1361">
        <v>88</v>
      </c>
      <c r="E1361">
        <v>264</v>
      </c>
      <c r="F1361">
        <v>36</v>
      </c>
      <c r="G1361" s="1">
        <v>45337</v>
      </c>
      <c r="H1361" t="s">
        <v>11</v>
      </c>
      <c r="I1361">
        <v>2024</v>
      </c>
      <c r="J1361">
        <v>2</v>
      </c>
    </row>
    <row r="1362" spans="1:10" x14ac:dyDescent="0.3">
      <c r="A1362">
        <v>881</v>
      </c>
      <c r="B1362">
        <v>23</v>
      </c>
      <c r="C1362">
        <v>4</v>
      </c>
      <c r="D1362">
        <v>98</v>
      </c>
      <c r="E1362">
        <v>392</v>
      </c>
      <c r="F1362">
        <v>39</v>
      </c>
      <c r="G1362" s="1">
        <v>45420</v>
      </c>
      <c r="H1362" t="s">
        <v>11</v>
      </c>
      <c r="I1362">
        <v>2024</v>
      </c>
      <c r="J1362">
        <v>5</v>
      </c>
    </row>
    <row r="1363" spans="1:10" x14ac:dyDescent="0.3">
      <c r="A1363">
        <v>881</v>
      </c>
      <c r="B1363">
        <v>9</v>
      </c>
      <c r="C1363">
        <v>4</v>
      </c>
      <c r="D1363">
        <v>101</v>
      </c>
      <c r="E1363">
        <v>404</v>
      </c>
      <c r="F1363">
        <v>39</v>
      </c>
      <c r="G1363" s="1">
        <v>45420</v>
      </c>
      <c r="H1363" t="s">
        <v>11</v>
      </c>
      <c r="I1363">
        <v>2024</v>
      </c>
      <c r="J1363">
        <v>5</v>
      </c>
    </row>
    <row r="1364" spans="1:10" x14ac:dyDescent="0.3">
      <c r="A1364">
        <v>881</v>
      </c>
      <c r="B1364">
        <v>11</v>
      </c>
      <c r="C1364">
        <v>3</v>
      </c>
      <c r="D1364">
        <v>99</v>
      </c>
      <c r="E1364">
        <v>297</v>
      </c>
      <c r="F1364">
        <v>39</v>
      </c>
      <c r="G1364" s="1">
        <v>45420</v>
      </c>
      <c r="H1364" t="s">
        <v>11</v>
      </c>
      <c r="I1364">
        <v>2024</v>
      </c>
      <c r="J1364">
        <v>5</v>
      </c>
    </row>
    <row r="1365" spans="1:10" x14ac:dyDescent="0.3">
      <c r="A1365">
        <v>7</v>
      </c>
      <c r="B1365">
        <v>43</v>
      </c>
      <c r="C1365">
        <v>1</v>
      </c>
      <c r="D1365">
        <v>58</v>
      </c>
      <c r="E1365">
        <v>58</v>
      </c>
      <c r="F1365">
        <v>103</v>
      </c>
      <c r="G1365" s="1">
        <v>45369</v>
      </c>
      <c r="H1365" t="s">
        <v>11</v>
      </c>
      <c r="I1365">
        <v>2024</v>
      </c>
      <c r="J1365">
        <v>3</v>
      </c>
    </row>
    <row r="1366" spans="1:10" x14ac:dyDescent="0.3">
      <c r="A1366">
        <v>7</v>
      </c>
      <c r="B1366">
        <v>16</v>
      </c>
      <c r="C1366">
        <v>3</v>
      </c>
      <c r="D1366">
        <v>98</v>
      </c>
      <c r="E1366">
        <v>294</v>
      </c>
      <c r="F1366">
        <v>103</v>
      </c>
      <c r="G1366" s="1">
        <v>45369</v>
      </c>
      <c r="H1366" t="s">
        <v>11</v>
      </c>
      <c r="I1366">
        <v>2024</v>
      </c>
      <c r="J1366">
        <v>3</v>
      </c>
    </row>
    <row r="1367" spans="1:10" x14ac:dyDescent="0.3">
      <c r="A1367">
        <v>237</v>
      </c>
      <c r="B1367">
        <v>14</v>
      </c>
      <c r="C1367">
        <v>3</v>
      </c>
      <c r="D1367">
        <v>114</v>
      </c>
      <c r="E1367">
        <v>342</v>
      </c>
      <c r="F1367">
        <v>112</v>
      </c>
      <c r="G1367" s="1">
        <v>45561</v>
      </c>
      <c r="H1367" t="s">
        <v>11</v>
      </c>
      <c r="I1367">
        <v>2024</v>
      </c>
      <c r="J1367">
        <v>9</v>
      </c>
    </row>
    <row r="1368" spans="1:10" x14ac:dyDescent="0.3">
      <c r="A1368">
        <v>237</v>
      </c>
      <c r="B1368">
        <v>7</v>
      </c>
      <c r="C1368">
        <v>5</v>
      </c>
      <c r="D1368">
        <v>100</v>
      </c>
      <c r="E1368">
        <v>500</v>
      </c>
      <c r="F1368">
        <v>112</v>
      </c>
      <c r="G1368" s="1">
        <v>45561</v>
      </c>
      <c r="H1368" t="s">
        <v>11</v>
      </c>
      <c r="I1368">
        <v>2024</v>
      </c>
      <c r="J1368">
        <v>9</v>
      </c>
    </row>
    <row r="1369" spans="1:10" x14ac:dyDescent="0.3">
      <c r="A1369">
        <v>46</v>
      </c>
      <c r="B1369">
        <v>35</v>
      </c>
      <c r="C1369">
        <v>5</v>
      </c>
      <c r="D1369">
        <v>108</v>
      </c>
      <c r="E1369">
        <v>540</v>
      </c>
      <c r="F1369">
        <v>206</v>
      </c>
      <c r="G1369" s="1">
        <v>45379</v>
      </c>
      <c r="H1369" t="s">
        <v>11</v>
      </c>
      <c r="I1369">
        <v>2024</v>
      </c>
      <c r="J1369">
        <v>3</v>
      </c>
    </row>
    <row r="1370" spans="1:10" x14ac:dyDescent="0.3">
      <c r="A1370">
        <v>618</v>
      </c>
      <c r="B1370">
        <v>30</v>
      </c>
      <c r="C1370">
        <v>3</v>
      </c>
      <c r="D1370">
        <v>28</v>
      </c>
      <c r="E1370">
        <v>84</v>
      </c>
      <c r="F1370">
        <v>53</v>
      </c>
      <c r="G1370" s="1">
        <v>45651</v>
      </c>
      <c r="H1370" t="s">
        <v>11</v>
      </c>
      <c r="I1370">
        <v>2024</v>
      </c>
      <c r="J1370">
        <v>12</v>
      </c>
    </row>
    <row r="1371" spans="1:10" x14ac:dyDescent="0.3">
      <c r="A1371">
        <v>928</v>
      </c>
      <c r="B1371">
        <v>28</v>
      </c>
      <c r="C1371">
        <v>5</v>
      </c>
      <c r="D1371">
        <v>32</v>
      </c>
      <c r="E1371">
        <v>160</v>
      </c>
      <c r="F1371">
        <v>134</v>
      </c>
      <c r="G1371" s="1">
        <v>45415</v>
      </c>
      <c r="H1371" t="s">
        <v>11</v>
      </c>
      <c r="I1371">
        <v>2024</v>
      </c>
      <c r="J1371">
        <v>5</v>
      </c>
    </row>
    <row r="1372" spans="1:10" x14ac:dyDescent="0.3">
      <c r="A1372">
        <v>928</v>
      </c>
      <c r="B1372">
        <v>23</v>
      </c>
      <c r="C1372">
        <v>3</v>
      </c>
      <c r="D1372">
        <v>37</v>
      </c>
      <c r="E1372">
        <v>111</v>
      </c>
      <c r="F1372">
        <v>134</v>
      </c>
      <c r="G1372" s="1">
        <v>45415</v>
      </c>
      <c r="H1372" t="s">
        <v>11</v>
      </c>
      <c r="I1372">
        <v>2024</v>
      </c>
      <c r="J1372">
        <v>5</v>
      </c>
    </row>
    <row r="1373" spans="1:10" x14ac:dyDescent="0.3">
      <c r="A1373">
        <v>928</v>
      </c>
      <c r="B1373">
        <v>6</v>
      </c>
      <c r="C1373">
        <v>4</v>
      </c>
      <c r="D1373">
        <v>98</v>
      </c>
      <c r="E1373">
        <v>392</v>
      </c>
      <c r="F1373">
        <v>134</v>
      </c>
      <c r="G1373" s="1">
        <v>45415</v>
      </c>
      <c r="H1373" t="s">
        <v>11</v>
      </c>
      <c r="I1373">
        <v>2024</v>
      </c>
      <c r="J1373">
        <v>5</v>
      </c>
    </row>
    <row r="1374" spans="1:10" x14ac:dyDescent="0.3">
      <c r="A1374">
        <v>176</v>
      </c>
      <c r="B1374">
        <v>16</v>
      </c>
      <c r="C1374">
        <v>2</v>
      </c>
      <c r="D1374">
        <v>59</v>
      </c>
      <c r="E1374">
        <v>118</v>
      </c>
      <c r="F1374">
        <v>126</v>
      </c>
      <c r="G1374" s="1">
        <v>45439</v>
      </c>
      <c r="H1374" t="s">
        <v>11</v>
      </c>
      <c r="I1374">
        <v>2024</v>
      </c>
      <c r="J1374">
        <v>5</v>
      </c>
    </row>
    <row r="1375" spans="1:10" x14ac:dyDescent="0.3">
      <c r="A1375">
        <v>657</v>
      </c>
      <c r="B1375">
        <v>30</v>
      </c>
      <c r="C1375">
        <v>1</v>
      </c>
      <c r="D1375">
        <v>42</v>
      </c>
      <c r="E1375">
        <v>42</v>
      </c>
      <c r="F1375">
        <v>286</v>
      </c>
      <c r="G1375" s="1">
        <v>45529</v>
      </c>
      <c r="H1375" t="s">
        <v>11</v>
      </c>
      <c r="I1375">
        <v>2024</v>
      </c>
      <c r="J1375">
        <v>8</v>
      </c>
    </row>
    <row r="1376" spans="1:10" x14ac:dyDescent="0.3">
      <c r="A1376">
        <v>842</v>
      </c>
      <c r="B1376">
        <v>29</v>
      </c>
      <c r="C1376">
        <v>2</v>
      </c>
      <c r="D1376">
        <v>11</v>
      </c>
      <c r="E1376">
        <v>22</v>
      </c>
      <c r="F1376">
        <v>95</v>
      </c>
      <c r="G1376" s="1">
        <v>45523</v>
      </c>
      <c r="H1376" t="s">
        <v>11</v>
      </c>
      <c r="I1376">
        <v>2024</v>
      </c>
      <c r="J1376">
        <v>8</v>
      </c>
    </row>
    <row r="1377" spans="1:10" x14ac:dyDescent="0.3">
      <c r="A1377">
        <v>690</v>
      </c>
      <c r="B1377">
        <v>25</v>
      </c>
      <c r="C1377">
        <v>4</v>
      </c>
      <c r="D1377">
        <v>99</v>
      </c>
      <c r="E1377">
        <v>396</v>
      </c>
      <c r="F1377">
        <v>93</v>
      </c>
      <c r="G1377" s="1">
        <v>45511</v>
      </c>
      <c r="H1377" t="s">
        <v>11</v>
      </c>
      <c r="I1377">
        <v>2024</v>
      </c>
      <c r="J1377">
        <v>8</v>
      </c>
    </row>
    <row r="1378" spans="1:10" x14ac:dyDescent="0.3">
      <c r="A1378">
        <v>690</v>
      </c>
      <c r="B1378">
        <v>29</v>
      </c>
      <c r="C1378">
        <v>3</v>
      </c>
      <c r="D1378">
        <v>11</v>
      </c>
      <c r="E1378">
        <v>33</v>
      </c>
      <c r="F1378">
        <v>93</v>
      </c>
      <c r="G1378" s="1">
        <v>45511</v>
      </c>
      <c r="H1378" t="s">
        <v>11</v>
      </c>
      <c r="I1378">
        <v>2024</v>
      </c>
      <c r="J1378">
        <v>8</v>
      </c>
    </row>
    <row r="1379" spans="1:10" x14ac:dyDescent="0.3">
      <c r="A1379">
        <v>127</v>
      </c>
      <c r="B1379">
        <v>23</v>
      </c>
      <c r="C1379">
        <v>2</v>
      </c>
      <c r="D1379">
        <v>99</v>
      </c>
      <c r="E1379">
        <v>198</v>
      </c>
      <c r="F1379">
        <v>243</v>
      </c>
      <c r="G1379" s="1">
        <v>45408</v>
      </c>
      <c r="H1379" t="s">
        <v>11</v>
      </c>
      <c r="I1379">
        <v>2024</v>
      </c>
      <c r="J1379">
        <v>4</v>
      </c>
    </row>
    <row r="1380" spans="1:10" x14ac:dyDescent="0.3">
      <c r="A1380">
        <v>127</v>
      </c>
      <c r="B1380">
        <v>25</v>
      </c>
      <c r="C1380">
        <v>4</v>
      </c>
      <c r="D1380">
        <v>61</v>
      </c>
      <c r="E1380">
        <v>244</v>
      </c>
      <c r="F1380">
        <v>243</v>
      </c>
      <c r="G1380" s="1">
        <v>45408</v>
      </c>
      <c r="H1380" t="s">
        <v>11</v>
      </c>
      <c r="I1380">
        <v>2024</v>
      </c>
      <c r="J1380">
        <v>4</v>
      </c>
    </row>
    <row r="1381" spans="1:10" x14ac:dyDescent="0.3">
      <c r="A1381">
        <v>915</v>
      </c>
      <c r="B1381">
        <v>7</v>
      </c>
      <c r="C1381">
        <v>3</v>
      </c>
      <c r="D1381">
        <v>43</v>
      </c>
      <c r="E1381">
        <v>129</v>
      </c>
      <c r="F1381">
        <v>130</v>
      </c>
      <c r="G1381" s="1">
        <v>45591</v>
      </c>
      <c r="H1381" t="s">
        <v>11</v>
      </c>
      <c r="I1381">
        <v>2024</v>
      </c>
      <c r="J1381">
        <v>10</v>
      </c>
    </row>
    <row r="1382" spans="1:10" x14ac:dyDescent="0.3">
      <c r="A1382">
        <v>915</v>
      </c>
      <c r="B1382">
        <v>14</v>
      </c>
      <c r="C1382">
        <v>5</v>
      </c>
      <c r="D1382">
        <v>98</v>
      </c>
      <c r="E1382">
        <v>490</v>
      </c>
      <c r="F1382">
        <v>130</v>
      </c>
      <c r="G1382" s="1">
        <v>45591</v>
      </c>
      <c r="H1382" t="s">
        <v>11</v>
      </c>
      <c r="I1382">
        <v>2024</v>
      </c>
      <c r="J1382">
        <v>10</v>
      </c>
    </row>
    <row r="1383" spans="1:10" x14ac:dyDescent="0.3">
      <c r="A1383">
        <v>377</v>
      </c>
      <c r="B1383">
        <v>33</v>
      </c>
      <c r="C1383">
        <v>3</v>
      </c>
      <c r="D1383">
        <v>96</v>
      </c>
      <c r="E1383">
        <v>288</v>
      </c>
      <c r="F1383">
        <v>247</v>
      </c>
      <c r="G1383" s="1">
        <v>45316</v>
      </c>
      <c r="H1383" t="s">
        <v>11</v>
      </c>
      <c r="I1383">
        <v>2024</v>
      </c>
      <c r="J1383">
        <v>1</v>
      </c>
    </row>
    <row r="1384" spans="1:10" x14ac:dyDescent="0.3">
      <c r="A1384">
        <v>757</v>
      </c>
      <c r="B1384">
        <v>4</v>
      </c>
      <c r="C1384">
        <v>4</v>
      </c>
      <c r="D1384">
        <v>74</v>
      </c>
      <c r="E1384">
        <v>296</v>
      </c>
      <c r="F1384">
        <v>145</v>
      </c>
      <c r="G1384" s="1">
        <v>45623</v>
      </c>
      <c r="H1384" t="s">
        <v>11</v>
      </c>
      <c r="I1384">
        <v>2024</v>
      </c>
      <c r="J1384">
        <v>11</v>
      </c>
    </row>
    <row r="1385" spans="1:10" x14ac:dyDescent="0.3">
      <c r="A1385">
        <v>757</v>
      </c>
      <c r="B1385">
        <v>3</v>
      </c>
      <c r="C1385">
        <v>1</v>
      </c>
      <c r="D1385">
        <v>21</v>
      </c>
      <c r="E1385">
        <v>21</v>
      </c>
      <c r="F1385">
        <v>145</v>
      </c>
      <c r="G1385" s="1">
        <v>45623</v>
      </c>
      <c r="H1385" t="s">
        <v>11</v>
      </c>
      <c r="I1385">
        <v>2024</v>
      </c>
      <c r="J1385">
        <v>11</v>
      </c>
    </row>
    <row r="1386" spans="1:10" x14ac:dyDescent="0.3">
      <c r="A1386">
        <v>737</v>
      </c>
      <c r="B1386">
        <v>8</v>
      </c>
      <c r="C1386">
        <v>2</v>
      </c>
      <c r="D1386">
        <v>112</v>
      </c>
      <c r="E1386">
        <v>224</v>
      </c>
      <c r="F1386">
        <v>7</v>
      </c>
      <c r="G1386" s="1">
        <v>45522</v>
      </c>
      <c r="H1386" t="s">
        <v>11</v>
      </c>
      <c r="I1386">
        <v>2024</v>
      </c>
      <c r="J1386">
        <v>8</v>
      </c>
    </row>
    <row r="1387" spans="1:10" x14ac:dyDescent="0.3">
      <c r="A1387">
        <v>366</v>
      </c>
      <c r="B1387">
        <v>24</v>
      </c>
      <c r="C1387">
        <v>1</v>
      </c>
      <c r="D1387">
        <v>96</v>
      </c>
      <c r="E1387">
        <v>96</v>
      </c>
      <c r="F1387">
        <v>96</v>
      </c>
      <c r="G1387" s="1">
        <v>45396</v>
      </c>
      <c r="H1387" t="s">
        <v>11</v>
      </c>
      <c r="I1387">
        <v>2024</v>
      </c>
      <c r="J1387">
        <v>4</v>
      </c>
    </row>
    <row r="1388" spans="1:10" x14ac:dyDescent="0.3">
      <c r="A1388">
        <v>366</v>
      </c>
      <c r="B1388">
        <v>11</v>
      </c>
      <c r="C1388">
        <v>5</v>
      </c>
      <c r="D1388">
        <v>87</v>
      </c>
      <c r="E1388">
        <v>435</v>
      </c>
      <c r="F1388">
        <v>96</v>
      </c>
      <c r="G1388" s="1">
        <v>45396</v>
      </c>
      <c r="H1388" t="s">
        <v>11</v>
      </c>
      <c r="I1388">
        <v>2024</v>
      </c>
      <c r="J1388">
        <v>4</v>
      </c>
    </row>
    <row r="1389" spans="1:10" x14ac:dyDescent="0.3">
      <c r="A1389">
        <v>366</v>
      </c>
      <c r="B1389">
        <v>11</v>
      </c>
      <c r="C1389">
        <v>4</v>
      </c>
      <c r="D1389">
        <v>25</v>
      </c>
      <c r="E1389">
        <v>100</v>
      </c>
      <c r="F1389">
        <v>96</v>
      </c>
      <c r="G1389" s="1">
        <v>45396</v>
      </c>
      <c r="H1389" t="s">
        <v>11</v>
      </c>
      <c r="I1389">
        <v>2024</v>
      </c>
      <c r="J1389">
        <v>4</v>
      </c>
    </row>
    <row r="1390" spans="1:10" x14ac:dyDescent="0.3">
      <c r="A1390">
        <v>296</v>
      </c>
      <c r="B1390">
        <v>27</v>
      </c>
      <c r="C1390">
        <v>4</v>
      </c>
      <c r="D1390">
        <v>75</v>
      </c>
      <c r="E1390">
        <v>300</v>
      </c>
      <c r="F1390">
        <v>58</v>
      </c>
      <c r="G1390" s="1">
        <v>45294</v>
      </c>
      <c r="H1390" t="s">
        <v>11</v>
      </c>
      <c r="I1390">
        <v>2024</v>
      </c>
      <c r="J1390">
        <v>1</v>
      </c>
    </row>
    <row r="1391" spans="1:10" x14ac:dyDescent="0.3">
      <c r="A1391">
        <v>296</v>
      </c>
      <c r="B1391">
        <v>43</v>
      </c>
      <c r="C1391">
        <v>4</v>
      </c>
      <c r="D1391">
        <v>43</v>
      </c>
      <c r="E1391">
        <v>172</v>
      </c>
      <c r="F1391">
        <v>58</v>
      </c>
      <c r="G1391" s="1">
        <v>45294</v>
      </c>
      <c r="H1391" t="s">
        <v>11</v>
      </c>
      <c r="I1391">
        <v>2024</v>
      </c>
      <c r="J1391">
        <v>1</v>
      </c>
    </row>
    <row r="1392" spans="1:10" x14ac:dyDescent="0.3">
      <c r="A1392">
        <v>296</v>
      </c>
      <c r="B1392">
        <v>4</v>
      </c>
      <c r="C1392">
        <v>3</v>
      </c>
      <c r="D1392">
        <v>106</v>
      </c>
      <c r="E1392">
        <v>318</v>
      </c>
      <c r="F1392">
        <v>58</v>
      </c>
      <c r="G1392" s="1">
        <v>45294</v>
      </c>
      <c r="H1392" t="s">
        <v>11</v>
      </c>
      <c r="I1392">
        <v>2024</v>
      </c>
      <c r="J1392">
        <v>1</v>
      </c>
    </row>
    <row r="1393" spans="1:10" x14ac:dyDescent="0.3">
      <c r="A1393">
        <v>296</v>
      </c>
      <c r="B1393">
        <v>16</v>
      </c>
      <c r="C1393">
        <v>3</v>
      </c>
      <c r="D1393">
        <v>79</v>
      </c>
      <c r="E1393">
        <v>237</v>
      </c>
      <c r="F1393">
        <v>58</v>
      </c>
      <c r="G1393" s="1">
        <v>45294</v>
      </c>
      <c r="H1393" t="s">
        <v>11</v>
      </c>
      <c r="I1393">
        <v>2024</v>
      </c>
      <c r="J1393">
        <v>1</v>
      </c>
    </row>
    <row r="1394" spans="1:10" x14ac:dyDescent="0.3">
      <c r="A1394">
        <v>203</v>
      </c>
      <c r="B1394">
        <v>32</v>
      </c>
      <c r="C1394">
        <v>5</v>
      </c>
      <c r="D1394">
        <v>28</v>
      </c>
      <c r="E1394">
        <v>140</v>
      </c>
      <c r="F1394">
        <v>199</v>
      </c>
      <c r="G1394" s="1">
        <v>45392</v>
      </c>
      <c r="H1394" t="s">
        <v>11</v>
      </c>
      <c r="I1394">
        <v>2024</v>
      </c>
      <c r="J1394">
        <v>4</v>
      </c>
    </row>
    <row r="1395" spans="1:10" x14ac:dyDescent="0.3">
      <c r="A1395">
        <v>61</v>
      </c>
      <c r="B1395">
        <v>14</v>
      </c>
      <c r="C1395">
        <v>2</v>
      </c>
      <c r="D1395">
        <v>33</v>
      </c>
      <c r="E1395">
        <v>66</v>
      </c>
      <c r="F1395">
        <v>252</v>
      </c>
      <c r="G1395" s="1">
        <v>45438</v>
      </c>
      <c r="H1395" t="s">
        <v>11</v>
      </c>
      <c r="I1395">
        <v>2024</v>
      </c>
      <c r="J1395">
        <v>5</v>
      </c>
    </row>
    <row r="1396" spans="1:10" x14ac:dyDescent="0.3">
      <c r="A1396">
        <v>61</v>
      </c>
      <c r="B1396">
        <v>12</v>
      </c>
      <c r="C1396">
        <v>5</v>
      </c>
      <c r="D1396">
        <v>87</v>
      </c>
      <c r="E1396">
        <v>435</v>
      </c>
      <c r="F1396">
        <v>252</v>
      </c>
      <c r="G1396" s="1">
        <v>45438</v>
      </c>
      <c r="H1396" t="s">
        <v>11</v>
      </c>
      <c r="I1396">
        <v>2024</v>
      </c>
      <c r="J1396">
        <v>5</v>
      </c>
    </row>
    <row r="1397" spans="1:10" x14ac:dyDescent="0.3">
      <c r="A1397">
        <v>61</v>
      </c>
      <c r="B1397">
        <v>5</v>
      </c>
      <c r="C1397">
        <v>2</v>
      </c>
      <c r="D1397">
        <v>31</v>
      </c>
      <c r="E1397">
        <v>62</v>
      </c>
      <c r="F1397">
        <v>252</v>
      </c>
      <c r="G1397" s="1">
        <v>45438</v>
      </c>
      <c r="H1397" t="s">
        <v>11</v>
      </c>
      <c r="I1397">
        <v>2024</v>
      </c>
      <c r="J1397">
        <v>5</v>
      </c>
    </row>
    <row r="1398" spans="1:10" x14ac:dyDescent="0.3">
      <c r="A1398">
        <v>314</v>
      </c>
      <c r="B1398">
        <v>16</v>
      </c>
      <c r="C1398">
        <v>3</v>
      </c>
      <c r="D1398">
        <v>68</v>
      </c>
      <c r="E1398">
        <v>204</v>
      </c>
      <c r="F1398">
        <v>36</v>
      </c>
      <c r="G1398" s="1">
        <v>45593</v>
      </c>
      <c r="H1398" t="s">
        <v>11</v>
      </c>
      <c r="I1398">
        <v>2024</v>
      </c>
      <c r="J1398">
        <v>10</v>
      </c>
    </row>
    <row r="1399" spans="1:10" x14ac:dyDescent="0.3">
      <c r="A1399">
        <v>314</v>
      </c>
      <c r="B1399">
        <v>16</v>
      </c>
      <c r="C1399">
        <v>2</v>
      </c>
      <c r="D1399">
        <v>65</v>
      </c>
      <c r="E1399">
        <v>130</v>
      </c>
      <c r="F1399">
        <v>36</v>
      </c>
      <c r="G1399" s="1">
        <v>45593</v>
      </c>
      <c r="H1399" t="s">
        <v>11</v>
      </c>
      <c r="I1399">
        <v>2024</v>
      </c>
      <c r="J1399">
        <v>10</v>
      </c>
    </row>
    <row r="1400" spans="1:10" x14ac:dyDescent="0.3">
      <c r="A1400">
        <v>314</v>
      </c>
      <c r="B1400">
        <v>28</v>
      </c>
      <c r="C1400">
        <v>2</v>
      </c>
      <c r="D1400">
        <v>24</v>
      </c>
      <c r="E1400">
        <v>48</v>
      </c>
      <c r="F1400">
        <v>36</v>
      </c>
      <c r="G1400" s="1">
        <v>45593</v>
      </c>
      <c r="H1400" t="s">
        <v>11</v>
      </c>
      <c r="I1400">
        <v>2024</v>
      </c>
      <c r="J1400">
        <v>10</v>
      </c>
    </row>
    <row r="1401" spans="1:10" x14ac:dyDescent="0.3">
      <c r="A1401">
        <v>314</v>
      </c>
      <c r="B1401">
        <v>31</v>
      </c>
      <c r="C1401">
        <v>1</v>
      </c>
      <c r="D1401">
        <v>90</v>
      </c>
      <c r="E1401">
        <v>90</v>
      </c>
      <c r="F1401">
        <v>36</v>
      </c>
      <c r="G1401" s="1">
        <v>45593</v>
      </c>
      <c r="H1401" t="s">
        <v>11</v>
      </c>
      <c r="I1401">
        <v>2024</v>
      </c>
      <c r="J1401">
        <v>10</v>
      </c>
    </row>
    <row r="1402" spans="1:10" x14ac:dyDescent="0.3">
      <c r="A1402">
        <v>314</v>
      </c>
      <c r="B1402">
        <v>31</v>
      </c>
      <c r="C1402">
        <v>4</v>
      </c>
      <c r="D1402">
        <v>89</v>
      </c>
      <c r="E1402">
        <v>356</v>
      </c>
      <c r="F1402">
        <v>36</v>
      </c>
      <c r="G1402" s="1">
        <v>45593</v>
      </c>
      <c r="H1402" t="s">
        <v>11</v>
      </c>
      <c r="I1402">
        <v>2024</v>
      </c>
      <c r="J1402">
        <v>10</v>
      </c>
    </row>
    <row r="1403" spans="1:10" x14ac:dyDescent="0.3">
      <c r="A1403">
        <v>503</v>
      </c>
      <c r="B1403">
        <v>39</v>
      </c>
      <c r="C1403">
        <v>1</v>
      </c>
      <c r="D1403">
        <v>82</v>
      </c>
      <c r="E1403">
        <v>82</v>
      </c>
      <c r="F1403">
        <v>230</v>
      </c>
      <c r="G1403" s="1">
        <v>45330</v>
      </c>
      <c r="H1403" t="s">
        <v>11</v>
      </c>
      <c r="I1403">
        <v>2024</v>
      </c>
      <c r="J1403">
        <v>2</v>
      </c>
    </row>
    <row r="1404" spans="1:10" x14ac:dyDescent="0.3">
      <c r="A1404">
        <v>503</v>
      </c>
      <c r="B1404">
        <v>14</v>
      </c>
      <c r="C1404">
        <v>3</v>
      </c>
      <c r="D1404">
        <v>89</v>
      </c>
      <c r="E1404">
        <v>267</v>
      </c>
      <c r="F1404">
        <v>230</v>
      </c>
      <c r="G1404" s="1">
        <v>45330</v>
      </c>
      <c r="H1404" t="s">
        <v>11</v>
      </c>
      <c r="I1404">
        <v>2024</v>
      </c>
      <c r="J1404">
        <v>2</v>
      </c>
    </row>
    <row r="1405" spans="1:10" x14ac:dyDescent="0.3">
      <c r="A1405">
        <v>550</v>
      </c>
      <c r="B1405">
        <v>26</v>
      </c>
      <c r="C1405">
        <v>2</v>
      </c>
      <c r="D1405">
        <v>74</v>
      </c>
      <c r="E1405">
        <v>148</v>
      </c>
      <c r="F1405">
        <v>203</v>
      </c>
      <c r="G1405" s="1">
        <v>45315</v>
      </c>
      <c r="H1405" t="s">
        <v>11</v>
      </c>
      <c r="I1405">
        <v>2024</v>
      </c>
      <c r="J1405">
        <v>1</v>
      </c>
    </row>
    <row r="1406" spans="1:10" x14ac:dyDescent="0.3">
      <c r="A1406">
        <v>550</v>
      </c>
      <c r="B1406">
        <v>7</v>
      </c>
      <c r="C1406">
        <v>2</v>
      </c>
      <c r="D1406">
        <v>116</v>
      </c>
      <c r="E1406">
        <v>232</v>
      </c>
      <c r="F1406">
        <v>203</v>
      </c>
      <c r="G1406" s="1">
        <v>45315</v>
      </c>
      <c r="H1406" t="s">
        <v>11</v>
      </c>
      <c r="I1406">
        <v>2024</v>
      </c>
      <c r="J1406">
        <v>1</v>
      </c>
    </row>
    <row r="1407" spans="1:10" x14ac:dyDescent="0.3">
      <c r="A1407">
        <v>275</v>
      </c>
      <c r="B1407">
        <v>39</v>
      </c>
      <c r="C1407">
        <v>4</v>
      </c>
      <c r="D1407">
        <v>104</v>
      </c>
      <c r="E1407">
        <v>416</v>
      </c>
      <c r="F1407">
        <v>158</v>
      </c>
      <c r="G1407" s="1">
        <v>45538</v>
      </c>
      <c r="H1407" t="s">
        <v>11</v>
      </c>
      <c r="I1407">
        <v>2024</v>
      </c>
      <c r="J1407">
        <v>9</v>
      </c>
    </row>
    <row r="1408" spans="1:10" x14ac:dyDescent="0.3">
      <c r="A1408">
        <v>319</v>
      </c>
      <c r="B1408">
        <v>30</v>
      </c>
      <c r="C1408">
        <v>1</v>
      </c>
      <c r="D1408">
        <v>72</v>
      </c>
      <c r="E1408">
        <v>72</v>
      </c>
      <c r="F1408">
        <v>143</v>
      </c>
      <c r="G1408" s="1">
        <v>45517</v>
      </c>
      <c r="H1408" t="s">
        <v>11</v>
      </c>
      <c r="I1408">
        <v>2024</v>
      </c>
      <c r="J1408">
        <v>8</v>
      </c>
    </row>
    <row r="1409" spans="1:10" x14ac:dyDescent="0.3">
      <c r="A1409">
        <v>319</v>
      </c>
      <c r="B1409">
        <v>47</v>
      </c>
      <c r="C1409">
        <v>3</v>
      </c>
      <c r="D1409">
        <v>28</v>
      </c>
      <c r="E1409">
        <v>84</v>
      </c>
      <c r="F1409">
        <v>143</v>
      </c>
      <c r="G1409" s="1">
        <v>45517</v>
      </c>
      <c r="H1409" t="s">
        <v>11</v>
      </c>
      <c r="I1409">
        <v>2024</v>
      </c>
      <c r="J1409">
        <v>8</v>
      </c>
    </row>
    <row r="1410" spans="1:10" x14ac:dyDescent="0.3">
      <c r="A1410">
        <v>589</v>
      </c>
      <c r="B1410">
        <v>30</v>
      </c>
      <c r="C1410">
        <v>3</v>
      </c>
      <c r="D1410">
        <v>110</v>
      </c>
      <c r="E1410">
        <v>330</v>
      </c>
      <c r="F1410">
        <v>82</v>
      </c>
      <c r="G1410" s="1">
        <v>45367</v>
      </c>
      <c r="H1410" t="s">
        <v>11</v>
      </c>
      <c r="I1410">
        <v>2024</v>
      </c>
      <c r="J1410">
        <v>3</v>
      </c>
    </row>
    <row r="1411" spans="1:10" x14ac:dyDescent="0.3">
      <c r="A1411">
        <v>750</v>
      </c>
      <c r="B1411">
        <v>26</v>
      </c>
      <c r="C1411">
        <v>5</v>
      </c>
      <c r="D1411">
        <v>62</v>
      </c>
      <c r="E1411">
        <v>310</v>
      </c>
      <c r="F1411">
        <v>39</v>
      </c>
      <c r="G1411" s="1">
        <v>45301</v>
      </c>
      <c r="H1411" t="s">
        <v>11</v>
      </c>
      <c r="I1411">
        <v>2024</v>
      </c>
      <c r="J1411">
        <v>1</v>
      </c>
    </row>
    <row r="1412" spans="1:10" x14ac:dyDescent="0.3">
      <c r="A1412">
        <v>490</v>
      </c>
      <c r="B1412">
        <v>23</v>
      </c>
      <c r="C1412">
        <v>2</v>
      </c>
      <c r="D1412">
        <v>63</v>
      </c>
      <c r="E1412">
        <v>126</v>
      </c>
      <c r="F1412">
        <v>223</v>
      </c>
      <c r="G1412" s="1">
        <v>45542</v>
      </c>
      <c r="H1412" t="s">
        <v>11</v>
      </c>
      <c r="I1412">
        <v>2024</v>
      </c>
      <c r="J1412">
        <v>9</v>
      </c>
    </row>
    <row r="1413" spans="1:10" x14ac:dyDescent="0.3">
      <c r="A1413">
        <v>490</v>
      </c>
      <c r="B1413">
        <v>41</v>
      </c>
      <c r="C1413">
        <v>1</v>
      </c>
      <c r="D1413">
        <v>40</v>
      </c>
      <c r="E1413">
        <v>40</v>
      </c>
      <c r="F1413">
        <v>223</v>
      </c>
      <c r="G1413" s="1">
        <v>45542</v>
      </c>
      <c r="H1413" t="s">
        <v>11</v>
      </c>
      <c r="I1413">
        <v>2024</v>
      </c>
      <c r="J1413">
        <v>9</v>
      </c>
    </row>
    <row r="1414" spans="1:10" x14ac:dyDescent="0.3">
      <c r="A1414">
        <v>490</v>
      </c>
      <c r="B1414">
        <v>14</v>
      </c>
      <c r="C1414">
        <v>2</v>
      </c>
      <c r="D1414">
        <v>106</v>
      </c>
      <c r="E1414">
        <v>212</v>
      </c>
      <c r="F1414">
        <v>223</v>
      </c>
      <c r="G1414" s="1">
        <v>45542</v>
      </c>
      <c r="H1414" t="s">
        <v>11</v>
      </c>
      <c r="I1414">
        <v>2024</v>
      </c>
      <c r="J1414">
        <v>9</v>
      </c>
    </row>
    <row r="1415" spans="1:10" x14ac:dyDescent="0.3">
      <c r="A1415">
        <v>857</v>
      </c>
      <c r="B1415">
        <v>8</v>
      </c>
      <c r="C1415">
        <v>1</v>
      </c>
      <c r="D1415">
        <v>114</v>
      </c>
      <c r="E1415">
        <v>114</v>
      </c>
      <c r="F1415">
        <v>165</v>
      </c>
      <c r="G1415" s="1">
        <v>45511</v>
      </c>
      <c r="H1415" t="s">
        <v>11</v>
      </c>
      <c r="I1415">
        <v>2024</v>
      </c>
      <c r="J1415">
        <v>8</v>
      </c>
    </row>
    <row r="1416" spans="1:10" x14ac:dyDescent="0.3">
      <c r="A1416">
        <v>857</v>
      </c>
      <c r="B1416">
        <v>5</v>
      </c>
      <c r="C1416">
        <v>3</v>
      </c>
      <c r="D1416">
        <v>25</v>
      </c>
      <c r="E1416">
        <v>75</v>
      </c>
      <c r="F1416">
        <v>165</v>
      </c>
      <c r="G1416" s="1">
        <v>45511</v>
      </c>
      <c r="H1416" t="s">
        <v>11</v>
      </c>
      <c r="I1416">
        <v>2024</v>
      </c>
      <c r="J1416">
        <v>8</v>
      </c>
    </row>
    <row r="1417" spans="1:10" x14ac:dyDescent="0.3">
      <c r="A1417">
        <v>956</v>
      </c>
      <c r="B1417">
        <v>19</v>
      </c>
      <c r="C1417">
        <v>4</v>
      </c>
      <c r="D1417">
        <v>48</v>
      </c>
      <c r="E1417">
        <v>192</v>
      </c>
      <c r="F1417">
        <v>149</v>
      </c>
      <c r="G1417" s="1">
        <v>45641</v>
      </c>
      <c r="H1417" t="s">
        <v>11</v>
      </c>
      <c r="I1417">
        <v>2024</v>
      </c>
      <c r="J1417">
        <v>12</v>
      </c>
    </row>
    <row r="1418" spans="1:10" x14ac:dyDescent="0.3">
      <c r="A1418">
        <v>796</v>
      </c>
      <c r="B1418">
        <v>37</v>
      </c>
      <c r="C1418">
        <v>4</v>
      </c>
      <c r="D1418">
        <v>37</v>
      </c>
      <c r="E1418">
        <v>148</v>
      </c>
      <c r="F1418">
        <v>36</v>
      </c>
      <c r="G1418" s="1">
        <v>45470</v>
      </c>
      <c r="H1418" t="s">
        <v>11</v>
      </c>
      <c r="I1418">
        <v>2024</v>
      </c>
      <c r="J1418">
        <v>6</v>
      </c>
    </row>
    <row r="1419" spans="1:10" x14ac:dyDescent="0.3">
      <c r="A1419">
        <v>865</v>
      </c>
      <c r="B1419">
        <v>18</v>
      </c>
      <c r="C1419">
        <v>2</v>
      </c>
      <c r="D1419">
        <v>39</v>
      </c>
      <c r="E1419">
        <v>78</v>
      </c>
      <c r="F1419">
        <v>89</v>
      </c>
      <c r="G1419" s="1">
        <v>45560</v>
      </c>
      <c r="H1419" t="s">
        <v>11</v>
      </c>
      <c r="I1419">
        <v>2024</v>
      </c>
      <c r="J1419">
        <v>9</v>
      </c>
    </row>
    <row r="1420" spans="1:10" x14ac:dyDescent="0.3">
      <c r="A1420">
        <v>549</v>
      </c>
      <c r="B1420">
        <v>37</v>
      </c>
      <c r="C1420">
        <v>1</v>
      </c>
      <c r="D1420">
        <v>76</v>
      </c>
      <c r="E1420">
        <v>76</v>
      </c>
      <c r="F1420">
        <v>213</v>
      </c>
      <c r="G1420" s="1">
        <v>45472</v>
      </c>
      <c r="H1420" t="s">
        <v>11</v>
      </c>
      <c r="I1420">
        <v>2024</v>
      </c>
      <c r="J1420">
        <v>6</v>
      </c>
    </row>
    <row r="1421" spans="1:10" x14ac:dyDescent="0.3">
      <c r="A1421">
        <v>549</v>
      </c>
      <c r="B1421">
        <v>39</v>
      </c>
      <c r="C1421">
        <v>2</v>
      </c>
      <c r="D1421">
        <v>53</v>
      </c>
      <c r="E1421">
        <v>106</v>
      </c>
      <c r="F1421">
        <v>213</v>
      </c>
      <c r="G1421" s="1">
        <v>45472</v>
      </c>
      <c r="H1421" t="s">
        <v>11</v>
      </c>
      <c r="I1421">
        <v>2024</v>
      </c>
      <c r="J1421">
        <v>6</v>
      </c>
    </row>
    <row r="1422" spans="1:10" x14ac:dyDescent="0.3">
      <c r="A1422">
        <v>853</v>
      </c>
      <c r="B1422">
        <v>37</v>
      </c>
      <c r="C1422">
        <v>2</v>
      </c>
      <c r="D1422">
        <v>110</v>
      </c>
      <c r="E1422">
        <v>220</v>
      </c>
      <c r="F1422">
        <v>270</v>
      </c>
      <c r="G1422" s="1">
        <v>45595</v>
      </c>
      <c r="H1422" t="s">
        <v>11</v>
      </c>
      <c r="I1422">
        <v>2024</v>
      </c>
      <c r="J1422">
        <v>10</v>
      </c>
    </row>
    <row r="1423" spans="1:10" x14ac:dyDescent="0.3">
      <c r="A1423">
        <v>853</v>
      </c>
      <c r="B1423">
        <v>50</v>
      </c>
      <c r="C1423">
        <v>2</v>
      </c>
      <c r="D1423">
        <v>56</v>
      </c>
      <c r="E1423">
        <v>112</v>
      </c>
      <c r="F1423">
        <v>270</v>
      </c>
      <c r="G1423" s="1">
        <v>45595</v>
      </c>
      <c r="H1423" t="s">
        <v>11</v>
      </c>
      <c r="I1423">
        <v>2024</v>
      </c>
      <c r="J1423">
        <v>10</v>
      </c>
    </row>
    <row r="1424" spans="1:10" x14ac:dyDescent="0.3">
      <c r="A1424">
        <v>445</v>
      </c>
      <c r="B1424">
        <v>30</v>
      </c>
      <c r="C1424">
        <v>5</v>
      </c>
      <c r="D1424">
        <v>85</v>
      </c>
      <c r="E1424">
        <v>425</v>
      </c>
      <c r="F1424">
        <v>192</v>
      </c>
      <c r="G1424" s="1">
        <v>45303</v>
      </c>
      <c r="H1424" t="s">
        <v>11</v>
      </c>
      <c r="I1424">
        <v>2024</v>
      </c>
      <c r="J1424">
        <v>1</v>
      </c>
    </row>
    <row r="1425" spans="1:10" x14ac:dyDescent="0.3">
      <c r="A1425">
        <v>445</v>
      </c>
      <c r="B1425">
        <v>35</v>
      </c>
      <c r="C1425">
        <v>4</v>
      </c>
      <c r="D1425">
        <v>118</v>
      </c>
      <c r="E1425">
        <v>472</v>
      </c>
      <c r="F1425">
        <v>192</v>
      </c>
      <c r="G1425" s="1">
        <v>45303</v>
      </c>
      <c r="H1425" t="s">
        <v>11</v>
      </c>
      <c r="I1425">
        <v>2024</v>
      </c>
      <c r="J1425">
        <v>1</v>
      </c>
    </row>
    <row r="1426" spans="1:10" x14ac:dyDescent="0.3">
      <c r="A1426">
        <v>363</v>
      </c>
      <c r="B1426">
        <v>39</v>
      </c>
      <c r="C1426">
        <v>2</v>
      </c>
      <c r="D1426">
        <v>18</v>
      </c>
      <c r="E1426">
        <v>36</v>
      </c>
      <c r="F1426">
        <v>1</v>
      </c>
      <c r="G1426" s="1">
        <v>45648</v>
      </c>
      <c r="H1426" t="s">
        <v>11</v>
      </c>
      <c r="I1426">
        <v>2024</v>
      </c>
      <c r="J1426">
        <v>12</v>
      </c>
    </row>
    <row r="1427" spans="1:10" x14ac:dyDescent="0.3">
      <c r="A1427">
        <v>363</v>
      </c>
      <c r="B1427">
        <v>50</v>
      </c>
      <c r="C1427">
        <v>2</v>
      </c>
      <c r="D1427">
        <v>15</v>
      </c>
      <c r="E1427">
        <v>30</v>
      </c>
      <c r="F1427">
        <v>1</v>
      </c>
      <c r="G1427" s="1">
        <v>45648</v>
      </c>
      <c r="H1427" t="s">
        <v>11</v>
      </c>
      <c r="I1427">
        <v>2024</v>
      </c>
      <c r="J1427">
        <v>12</v>
      </c>
    </row>
    <row r="1428" spans="1:10" x14ac:dyDescent="0.3">
      <c r="A1428">
        <v>123</v>
      </c>
      <c r="B1428">
        <v>9</v>
      </c>
      <c r="C1428">
        <v>2</v>
      </c>
      <c r="D1428">
        <v>112</v>
      </c>
      <c r="E1428">
        <v>224</v>
      </c>
      <c r="F1428">
        <v>36</v>
      </c>
      <c r="G1428" s="1">
        <v>45456</v>
      </c>
      <c r="H1428" t="s">
        <v>11</v>
      </c>
      <c r="I1428">
        <v>2024</v>
      </c>
      <c r="J1428">
        <v>6</v>
      </c>
    </row>
    <row r="1429" spans="1:10" x14ac:dyDescent="0.3">
      <c r="A1429">
        <v>742</v>
      </c>
      <c r="B1429">
        <v>12</v>
      </c>
      <c r="C1429">
        <v>1</v>
      </c>
      <c r="D1429">
        <v>101</v>
      </c>
      <c r="E1429">
        <v>101</v>
      </c>
      <c r="F1429">
        <v>274</v>
      </c>
      <c r="G1429" s="1">
        <v>45357</v>
      </c>
      <c r="H1429" t="s">
        <v>11</v>
      </c>
      <c r="I1429">
        <v>2024</v>
      </c>
      <c r="J1429">
        <v>3</v>
      </c>
    </row>
    <row r="1430" spans="1:10" x14ac:dyDescent="0.3">
      <c r="A1430">
        <v>742</v>
      </c>
      <c r="B1430">
        <v>13</v>
      </c>
      <c r="C1430">
        <v>2</v>
      </c>
      <c r="D1430">
        <v>80</v>
      </c>
      <c r="E1430">
        <v>160</v>
      </c>
      <c r="F1430">
        <v>274</v>
      </c>
      <c r="G1430" s="1">
        <v>45357</v>
      </c>
      <c r="H1430" t="s">
        <v>11</v>
      </c>
      <c r="I1430">
        <v>2024</v>
      </c>
      <c r="J1430">
        <v>3</v>
      </c>
    </row>
    <row r="1431" spans="1:10" x14ac:dyDescent="0.3">
      <c r="A1431">
        <v>335</v>
      </c>
      <c r="B1431">
        <v>44</v>
      </c>
      <c r="C1431">
        <v>5</v>
      </c>
      <c r="D1431">
        <v>95</v>
      </c>
      <c r="E1431">
        <v>475</v>
      </c>
      <c r="F1431">
        <v>101</v>
      </c>
      <c r="G1431" s="1">
        <v>45509</v>
      </c>
      <c r="H1431" t="s">
        <v>11</v>
      </c>
      <c r="I1431">
        <v>2024</v>
      </c>
      <c r="J1431">
        <v>8</v>
      </c>
    </row>
    <row r="1432" spans="1:10" x14ac:dyDescent="0.3">
      <c r="A1432">
        <v>335</v>
      </c>
      <c r="B1432">
        <v>41</v>
      </c>
      <c r="C1432">
        <v>5</v>
      </c>
      <c r="D1432">
        <v>74</v>
      </c>
      <c r="E1432">
        <v>370</v>
      </c>
      <c r="F1432">
        <v>101</v>
      </c>
      <c r="G1432" s="1">
        <v>45509</v>
      </c>
      <c r="H1432" t="s">
        <v>11</v>
      </c>
      <c r="I1432">
        <v>2024</v>
      </c>
      <c r="J1432">
        <v>8</v>
      </c>
    </row>
    <row r="1433" spans="1:10" x14ac:dyDescent="0.3">
      <c r="A1433">
        <v>335</v>
      </c>
      <c r="B1433">
        <v>3</v>
      </c>
      <c r="C1433">
        <v>2</v>
      </c>
      <c r="D1433">
        <v>50</v>
      </c>
      <c r="E1433">
        <v>100</v>
      </c>
      <c r="F1433">
        <v>101</v>
      </c>
      <c r="G1433" s="1">
        <v>45509</v>
      </c>
      <c r="H1433" t="s">
        <v>11</v>
      </c>
      <c r="I1433">
        <v>2024</v>
      </c>
      <c r="J1433">
        <v>8</v>
      </c>
    </row>
    <row r="1434" spans="1:10" x14ac:dyDescent="0.3">
      <c r="A1434">
        <v>92</v>
      </c>
      <c r="B1434">
        <v>18</v>
      </c>
      <c r="C1434">
        <v>2</v>
      </c>
      <c r="D1434">
        <v>33</v>
      </c>
      <c r="E1434">
        <v>66</v>
      </c>
      <c r="F1434">
        <v>48</v>
      </c>
      <c r="G1434" s="1">
        <v>45515</v>
      </c>
      <c r="H1434" t="s">
        <v>11</v>
      </c>
      <c r="I1434">
        <v>2024</v>
      </c>
      <c r="J1434">
        <v>8</v>
      </c>
    </row>
    <row r="1435" spans="1:10" x14ac:dyDescent="0.3">
      <c r="A1435">
        <v>92</v>
      </c>
      <c r="B1435">
        <v>15</v>
      </c>
      <c r="C1435">
        <v>1</v>
      </c>
      <c r="D1435">
        <v>97</v>
      </c>
      <c r="E1435">
        <v>97</v>
      </c>
      <c r="F1435">
        <v>48</v>
      </c>
      <c r="G1435" s="1">
        <v>45515</v>
      </c>
      <c r="H1435" t="s">
        <v>11</v>
      </c>
      <c r="I1435">
        <v>2024</v>
      </c>
      <c r="J1435">
        <v>8</v>
      </c>
    </row>
    <row r="1436" spans="1:10" x14ac:dyDescent="0.3">
      <c r="A1436">
        <v>530</v>
      </c>
      <c r="B1436">
        <v>3</v>
      </c>
      <c r="C1436">
        <v>2</v>
      </c>
      <c r="D1436">
        <v>60</v>
      </c>
      <c r="E1436">
        <v>120</v>
      </c>
      <c r="F1436">
        <v>173</v>
      </c>
      <c r="G1436" s="1">
        <v>45572</v>
      </c>
      <c r="H1436" t="s">
        <v>11</v>
      </c>
      <c r="I1436">
        <v>2024</v>
      </c>
      <c r="J1436">
        <v>10</v>
      </c>
    </row>
    <row r="1437" spans="1:10" x14ac:dyDescent="0.3">
      <c r="A1437">
        <v>530</v>
      </c>
      <c r="B1437">
        <v>23</v>
      </c>
      <c r="C1437">
        <v>4</v>
      </c>
      <c r="D1437">
        <v>89</v>
      </c>
      <c r="E1437">
        <v>356</v>
      </c>
      <c r="F1437">
        <v>173</v>
      </c>
      <c r="G1437" s="1">
        <v>45572</v>
      </c>
      <c r="H1437" t="s">
        <v>11</v>
      </c>
      <c r="I1437">
        <v>2024</v>
      </c>
      <c r="J1437">
        <v>10</v>
      </c>
    </row>
    <row r="1438" spans="1:10" x14ac:dyDescent="0.3">
      <c r="A1438">
        <v>63</v>
      </c>
      <c r="B1438">
        <v>43</v>
      </c>
      <c r="C1438">
        <v>4</v>
      </c>
      <c r="D1438">
        <v>99</v>
      </c>
      <c r="E1438">
        <v>396</v>
      </c>
      <c r="F1438">
        <v>296</v>
      </c>
      <c r="G1438" s="1">
        <v>45327</v>
      </c>
      <c r="H1438" t="s">
        <v>11</v>
      </c>
      <c r="I1438">
        <v>2024</v>
      </c>
      <c r="J1438">
        <v>2</v>
      </c>
    </row>
    <row r="1439" spans="1:10" x14ac:dyDescent="0.3">
      <c r="A1439">
        <v>772</v>
      </c>
      <c r="B1439">
        <v>31</v>
      </c>
      <c r="C1439">
        <v>4</v>
      </c>
      <c r="D1439">
        <v>116</v>
      </c>
      <c r="E1439">
        <v>464</v>
      </c>
      <c r="F1439">
        <v>236</v>
      </c>
      <c r="G1439" s="1">
        <v>45495</v>
      </c>
      <c r="H1439" t="s">
        <v>11</v>
      </c>
      <c r="I1439">
        <v>2024</v>
      </c>
      <c r="J1439">
        <v>7</v>
      </c>
    </row>
    <row r="1440" spans="1:10" x14ac:dyDescent="0.3">
      <c r="A1440">
        <v>875</v>
      </c>
      <c r="B1440">
        <v>49</v>
      </c>
      <c r="C1440">
        <v>4</v>
      </c>
      <c r="D1440">
        <v>79</v>
      </c>
      <c r="E1440">
        <v>316</v>
      </c>
      <c r="F1440">
        <v>143</v>
      </c>
      <c r="G1440" s="1">
        <v>45310</v>
      </c>
      <c r="H1440" t="s">
        <v>11</v>
      </c>
      <c r="I1440">
        <v>2024</v>
      </c>
      <c r="J1440">
        <v>1</v>
      </c>
    </row>
    <row r="1441" spans="1:10" x14ac:dyDescent="0.3">
      <c r="A1441">
        <v>823</v>
      </c>
      <c r="B1441">
        <v>6</v>
      </c>
      <c r="C1441">
        <v>3</v>
      </c>
      <c r="D1441">
        <v>116</v>
      </c>
      <c r="E1441">
        <v>348</v>
      </c>
      <c r="F1441">
        <v>38</v>
      </c>
      <c r="G1441" s="1">
        <v>45632</v>
      </c>
      <c r="H1441" t="s">
        <v>11</v>
      </c>
      <c r="I1441">
        <v>2024</v>
      </c>
      <c r="J1441">
        <v>12</v>
      </c>
    </row>
    <row r="1442" spans="1:10" x14ac:dyDescent="0.3">
      <c r="A1442">
        <v>385</v>
      </c>
      <c r="B1442">
        <v>14</v>
      </c>
      <c r="C1442">
        <v>1</v>
      </c>
      <c r="D1442">
        <v>18</v>
      </c>
      <c r="E1442">
        <v>18</v>
      </c>
      <c r="F1442">
        <v>69</v>
      </c>
      <c r="G1442" s="1">
        <v>45381</v>
      </c>
      <c r="H1442" t="s">
        <v>11</v>
      </c>
      <c r="I1442">
        <v>2024</v>
      </c>
      <c r="J1442">
        <v>3</v>
      </c>
    </row>
    <row r="1443" spans="1:10" x14ac:dyDescent="0.3">
      <c r="A1443">
        <v>21</v>
      </c>
      <c r="B1443">
        <v>22</v>
      </c>
      <c r="C1443">
        <v>3</v>
      </c>
      <c r="D1443">
        <v>104</v>
      </c>
      <c r="E1443">
        <v>312</v>
      </c>
      <c r="F1443">
        <v>253</v>
      </c>
      <c r="G1443" s="1">
        <v>45557</v>
      </c>
      <c r="H1443" t="s">
        <v>11</v>
      </c>
      <c r="I1443">
        <v>2024</v>
      </c>
      <c r="J1443">
        <v>9</v>
      </c>
    </row>
    <row r="1444" spans="1:10" x14ac:dyDescent="0.3">
      <c r="A1444">
        <v>444</v>
      </c>
      <c r="B1444">
        <v>19</v>
      </c>
      <c r="C1444">
        <v>2</v>
      </c>
      <c r="D1444">
        <v>106</v>
      </c>
      <c r="E1444">
        <v>212</v>
      </c>
      <c r="F1444">
        <v>164</v>
      </c>
      <c r="G1444" s="1">
        <v>45368</v>
      </c>
      <c r="H1444" t="s">
        <v>11</v>
      </c>
      <c r="I1444">
        <v>2024</v>
      </c>
      <c r="J1444">
        <v>3</v>
      </c>
    </row>
    <row r="1445" spans="1:10" x14ac:dyDescent="0.3">
      <c r="A1445">
        <v>444</v>
      </c>
      <c r="B1445">
        <v>15</v>
      </c>
      <c r="C1445">
        <v>4</v>
      </c>
      <c r="D1445">
        <v>66</v>
      </c>
      <c r="E1445">
        <v>264</v>
      </c>
      <c r="F1445">
        <v>164</v>
      </c>
      <c r="G1445" s="1">
        <v>45368</v>
      </c>
      <c r="H1445" t="s">
        <v>11</v>
      </c>
      <c r="I1445">
        <v>2024</v>
      </c>
      <c r="J1445">
        <v>3</v>
      </c>
    </row>
    <row r="1446" spans="1:10" x14ac:dyDescent="0.3">
      <c r="A1446">
        <v>312</v>
      </c>
      <c r="B1446">
        <v>28</v>
      </c>
      <c r="C1446">
        <v>4</v>
      </c>
      <c r="D1446">
        <v>104</v>
      </c>
      <c r="E1446">
        <v>416</v>
      </c>
      <c r="F1446">
        <v>26</v>
      </c>
      <c r="G1446" s="1">
        <v>45586</v>
      </c>
      <c r="H1446" t="s">
        <v>11</v>
      </c>
      <c r="I1446">
        <v>2024</v>
      </c>
      <c r="J1446">
        <v>10</v>
      </c>
    </row>
    <row r="1447" spans="1:10" x14ac:dyDescent="0.3">
      <c r="A1447">
        <v>52</v>
      </c>
      <c r="B1447">
        <v>13</v>
      </c>
      <c r="C1447">
        <v>3</v>
      </c>
      <c r="D1447">
        <v>24</v>
      </c>
      <c r="E1447">
        <v>72</v>
      </c>
      <c r="F1447">
        <v>260</v>
      </c>
      <c r="G1447" s="1">
        <v>45473</v>
      </c>
      <c r="H1447" t="s">
        <v>11</v>
      </c>
      <c r="I1447">
        <v>2024</v>
      </c>
      <c r="J1447">
        <v>6</v>
      </c>
    </row>
    <row r="1448" spans="1:10" x14ac:dyDescent="0.3">
      <c r="A1448">
        <v>856</v>
      </c>
      <c r="B1448">
        <v>29</v>
      </c>
      <c r="C1448">
        <v>2</v>
      </c>
      <c r="D1448">
        <v>15</v>
      </c>
      <c r="E1448">
        <v>30</v>
      </c>
      <c r="F1448">
        <v>213</v>
      </c>
      <c r="G1448" s="1">
        <v>45381</v>
      </c>
      <c r="H1448" t="s">
        <v>11</v>
      </c>
      <c r="I1448">
        <v>2024</v>
      </c>
      <c r="J1448">
        <v>3</v>
      </c>
    </row>
    <row r="1449" spans="1:10" x14ac:dyDescent="0.3">
      <c r="A1449">
        <v>856</v>
      </c>
      <c r="B1449">
        <v>35</v>
      </c>
      <c r="C1449">
        <v>2</v>
      </c>
      <c r="D1449">
        <v>82</v>
      </c>
      <c r="E1449">
        <v>164</v>
      </c>
      <c r="F1449">
        <v>213</v>
      </c>
      <c r="G1449" s="1">
        <v>45381</v>
      </c>
      <c r="H1449" t="s">
        <v>11</v>
      </c>
      <c r="I1449">
        <v>2024</v>
      </c>
      <c r="J1449">
        <v>3</v>
      </c>
    </row>
    <row r="1450" spans="1:10" x14ac:dyDescent="0.3">
      <c r="A1450">
        <v>856</v>
      </c>
      <c r="B1450">
        <v>32</v>
      </c>
      <c r="C1450">
        <v>2</v>
      </c>
      <c r="D1450">
        <v>105</v>
      </c>
      <c r="E1450">
        <v>210</v>
      </c>
      <c r="F1450">
        <v>213</v>
      </c>
      <c r="G1450" s="1">
        <v>45381</v>
      </c>
      <c r="H1450" t="s">
        <v>11</v>
      </c>
      <c r="I1450">
        <v>2024</v>
      </c>
      <c r="J1450">
        <v>3</v>
      </c>
    </row>
    <row r="1451" spans="1:10" x14ac:dyDescent="0.3">
      <c r="A1451">
        <v>814</v>
      </c>
      <c r="B1451">
        <v>8</v>
      </c>
      <c r="C1451">
        <v>4</v>
      </c>
      <c r="D1451">
        <v>107</v>
      </c>
      <c r="E1451">
        <v>428</v>
      </c>
      <c r="F1451">
        <v>212</v>
      </c>
      <c r="G1451" s="1">
        <v>45585</v>
      </c>
      <c r="H1451" t="s">
        <v>11</v>
      </c>
      <c r="I1451">
        <v>2024</v>
      </c>
      <c r="J1451">
        <v>10</v>
      </c>
    </row>
    <row r="1452" spans="1:10" x14ac:dyDescent="0.3">
      <c r="A1452">
        <v>814</v>
      </c>
      <c r="B1452">
        <v>6</v>
      </c>
      <c r="C1452">
        <v>2</v>
      </c>
      <c r="D1452">
        <v>96</v>
      </c>
      <c r="E1452">
        <v>192</v>
      </c>
      <c r="F1452">
        <v>212</v>
      </c>
      <c r="G1452" s="1">
        <v>45585</v>
      </c>
      <c r="H1452" t="s">
        <v>11</v>
      </c>
      <c r="I1452">
        <v>2024</v>
      </c>
      <c r="J1452">
        <v>10</v>
      </c>
    </row>
    <row r="1453" spans="1:10" x14ac:dyDescent="0.3">
      <c r="A1453">
        <v>622</v>
      </c>
      <c r="B1453">
        <v>45</v>
      </c>
      <c r="C1453">
        <v>4</v>
      </c>
      <c r="D1453">
        <v>82</v>
      </c>
      <c r="E1453">
        <v>328</v>
      </c>
      <c r="F1453">
        <v>145</v>
      </c>
      <c r="G1453" s="1">
        <v>45553</v>
      </c>
      <c r="H1453" t="s">
        <v>11</v>
      </c>
      <c r="I1453">
        <v>2024</v>
      </c>
      <c r="J1453">
        <v>9</v>
      </c>
    </row>
    <row r="1454" spans="1:10" x14ac:dyDescent="0.3">
      <c r="A1454">
        <v>622</v>
      </c>
      <c r="B1454">
        <v>4</v>
      </c>
      <c r="C1454">
        <v>3</v>
      </c>
      <c r="D1454">
        <v>46</v>
      </c>
      <c r="E1454">
        <v>138</v>
      </c>
      <c r="F1454">
        <v>145</v>
      </c>
      <c r="G1454" s="1">
        <v>45553</v>
      </c>
      <c r="H1454" t="s">
        <v>11</v>
      </c>
      <c r="I1454">
        <v>2024</v>
      </c>
      <c r="J1454">
        <v>9</v>
      </c>
    </row>
    <row r="1455" spans="1:10" x14ac:dyDescent="0.3">
      <c r="A1455">
        <v>622</v>
      </c>
      <c r="B1455">
        <v>34</v>
      </c>
      <c r="C1455">
        <v>2</v>
      </c>
      <c r="D1455">
        <v>102</v>
      </c>
      <c r="E1455">
        <v>204</v>
      </c>
      <c r="F1455">
        <v>145</v>
      </c>
      <c r="G1455" s="1">
        <v>45553</v>
      </c>
      <c r="H1455" t="s">
        <v>11</v>
      </c>
      <c r="I1455">
        <v>2024</v>
      </c>
      <c r="J1455">
        <v>9</v>
      </c>
    </row>
    <row r="1456" spans="1:10" x14ac:dyDescent="0.3">
      <c r="A1456">
        <v>6</v>
      </c>
      <c r="B1456">
        <v>15</v>
      </c>
      <c r="C1456">
        <v>3</v>
      </c>
      <c r="D1456">
        <v>52</v>
      </c>
      <c r="E1456">
        <v>156</v>
      </c>
      <c r="F1456">
        <v>21</v>
      </c>
      <c r="G1456" s="1">
        <v>45548</v>
      </c>
      <c r="H1456" t="s">
        <v>11</v>
      </c>
      <c r="I1456">
        <v>2024</v>
      </c>
      <c r="J1456">
        <v>9</v>
      </c>
    </row>
    <row r="1457" spans="1:10" x14ac:dyDescent="0.3">
      <c r="A1457">
        <v>547</v>
      </c>
      <c r="B1457">
        <v>38</v>
      </c>
      <c r="C1457">
        <v>3</v>
      </c>
      <c r="D1457">
        <v>60</v>
      </c>
      <c r="E1457">
        <v>180</v>
      </c>
      <c r="F1457">
        <v>149</v>
      </c>
      <c r="G1457" s="1">
        <v>45490</v>
      </c>
      <c r="H1457" t="s">
        <v>11</v>
      </c>
      <c r="I1457">
        <v>2024</v>
      </c>
      <c r="J1457">
        <v>7</v>
      </c>
    </row>
    <row r="1458" spans="1:10" x14ac:dyDescent="0.3">
      <c r="A1458">
        <v>261</v>
      </c>
      <c r="B1458">
        <v>49</v>
      </c>
      <c r="C1458">
        <v>1</v>
      </c>
      <c r="D1458">
        <v>33</v>
      </c>
      <c r="E1458">
        <v>33</v>
      </c>
      <c r="F1458">
        <v>27</v>
      </c>
      <c r="G1458" s="1">
        <v>45655</v>
      </c>
      <c r="H1458" t="s">
        <v>11</v>
      </c>
      <c r="I1458">
        <v>2024</v>
      </c>
      <c r="J1458">
        <v>12</v>
      </c>
    </row>
    <row r="1459" spans="1:10" x14ac:dyDescent="0.3">
      <c r="A1459">
        <v>426</v>
      </c>
      <c r="B1459">
        <v>37</v>
      </c>
      <c r="C1459">
        <v>3</v>
      </c>
      <c r="D1459">
        <v>35</v>
      </c>
      <c r="E1459">
        <v>105</v>
      </c>
      <c r="F1459">
        <v>12</v>
      </c>
      <c r="G1459" s="1">
        <v>45446</v>
      </c>
      <c r="H1459" t="s">
        <v>11</v>
      </c>
      <c r="I1459">
        <v>2024</v>
      </c>
      <c r="J1459">
        <v>6</v>
      </c>
    </row>
    <row r="1460" spans="1:10" x14ac:dyDescent="0.3">
      <c r="A1460">
        <v>87</v>
      </c>
      <c r="B1460">
        <v>44</v>
      </c>
      <c r="C1460">
        <v>4</v>
      </c>
      <c r="D1460">
        <v>54</v>
      </c>
      <c r="E1460">
        <v>216</v>
      </c>
      <c r="F1460">
        <v>28</v>
      </c>
      <c r="G1460" s="1">
        <v>45449</v>
      </c>
      <c r="H1460" t="s">
        <v>11</v>
      </c>
      <c r="I1460">
        <v>2024</v>
      </c>
      <c r="J1460">
        <v>6</v>
      </c>
    </row>
    <row r="1461" spans="1:10" x14ac:dyDescent="0.3">
      <c r="A1461">
        <v>976</v>
      </c>
      <c r="B1461">
        <v>16</v>
      </c>
      <c r="C1461">
        <v>3</v>
      </c>
      <c r="D1461">
        <v>117</v>
      </c>
      <c r="E1461">
        <v>351</v>
      </c>
      <c r="F1461">
        <v>180</v>
      </c>
      <c r="G1461" s="1">
        <v>45409</v>
      </c>
      <c r="H1461" t="s">
        <v>11</v>
      </c>
      <c r="I1461">
        <v>2024</v>
      </c>
      <c r="J1461">
        <v>4</v>
      </c>
    </row>
    <row r="1462" spans="1:10" x14ac:dyDescent="0.3">
      <c r="A1462">
        <v>976</v>
      </c>
      <c r="B1462">
        <v>50</v>
      </c>
      <c r="C1462">
        <v>4</v>
      </c>
      <c r="D1462">
        <v>35</v>
      </c>
      <c r="E1462">
        <v>140</v>
      </c>
      <c r="F1462">
        <v>180</v>
      </c>
      <c r="G1462" s="1">
        <v>45409</v>
      </c>
      <c r="H1462" t="s">
        <v>11</v>
      </c>
      <c r="I1462">
        <v>2024</v>
      </c>
      <c r="J1462">
        <v>4</v>
      </c>
    </row>
    <row r="1463" spans="1:10" x14ac:dyDescent="0.3">
      <c r="A1463">
        <v>285</v>
      </c>
      <c r="B1463">
        <v>25</v>
      </c>
      <c r="C1463">
        <v>2</v>
      </c>
      <c r="D1463">
        <v>118</v>
      </c>
      <c r="E1463">
        <v>236</v>
      </c>
      <c r="F1463">
        <v>188</v>
      </c>
      <c r="G1463" s="1">
        <v>45536</v>
      </c>
      <c r="H1463" t="s">
        <v>11</v>
      </c>
      <c r="I1463">
        <v>2024</v>
      </c>
      <c r="J1463">
        <v>9</v>
      </c>
    </row>
    <row r="1464" spans="1:10" x14ac:dyDescent="0.3">
      <c r="A1464">
        <v>239</v>
      </c>
      <c r="B1464">
        <v>17</v>
      </c>
      <c r="C1464">
        <v>5</v>
      </c>
      <c r="D1464">
        <v>70</v>
      </c>
      <c r="E1464">
        <v>350</v>
      </c>
      <c r="F1464">
        <v>153</v>
      </c>
      <c r="G1464" s="1">
        <v>45408</v>
      </c>
      <c r="H1464" t="s">
        <v>11</v>
      </c>
      <c r="I1464">
        <v>2024</v>
      </c>
      <c r="J1464">
        <v>4</v>
      </c>
    </row>
    <row r="1465" spans="1:10" x14ac:dyDescent="0.3">
      <c r="A1465">
        <v>239</v>
      </c>
      <c r="B1465">
        <v>18</v>
      </c>
      <c r="C1465">
        <v>5</v>
      </c>
      <c r="D1465">
        <v>115</v>
      </c>
      <c r="E1465">
        <v>575</v>
      </c>
      <c r="F1465">
        <v>153</v>
      </c>
      <c r="G1465" s="1">
        <v>45408</v>
      </c>
      <c r="H1465" t="s">
        <v>11</v>
      </c>
      <c r="I1465">
        <v>2024</v>
      </c>
      <c r="J1465">
        <v>4</v>
      </c>
    </row>
    <row r="1466" spans="1:10" x14ac:dyDescent="0.3">
      <c r="A1466">
        <v>239</v>
      </c>
      <c r="B1466">
        <v>3</v>
      </c>
      <c r="C1466">
        <v>2</v>
      </c>
      <c r="D1466">
        <v>109</v>
      </c>
      <c r="E1466">
        <v>218</v>
      </c>
      <c r="F1466">
        <v>153</v>
      </c>
      <c r="G1466" s="1">
        <v>45408</v>
      </c>
      <c r="H1466" t="s">
        <v>11</v>
      </c>
      <c r="I1466">
        <v>2024</v>
      </c>
      <c r="J1466">
        <v>4</v>
      </c>
    </row>
    <row r="1467" spans="1:10" x14ac:dyDescent="0.3">
      <c r="A1467">
        <v>239</v>
      </c>
      <c r="B1467">
        <v>21</v>
      </c>
      <c r="C1467">
        <v>5</v>
      </c>
      <c r="D1467">
        <v>48</v>
      </c>
      <c r="E1467">
        <v>240</v>
      </c>
      <c r="F1467">
        <v>153</v>
      </c>
      <c r="G1467" s="1">
        <v>45408</v>
      </c>
      <c r="H1467" t="s">
        <v>11</v>
      </c>
      <c r="I1467">
        <v>2024</v>
      </c>
      <c r="J1467">
        <v>4</v>
      </c>
    </row>
    <row r="1468" spans="1:10" x14ac:dyDescent="0.3">
      <c r="A1468">
        <v>599</v>
      </c>
      <c r="B1468">
        <v>46</v>
      </c>
      <c r="C1468">
        <v>1</v>
      </c>
      <c r="D1468">
        <v>77</v>
      </c>
      <c r="E1468">
        <v>77</v>
      </c>
      <c r="F1468">
        <v>65</v>
      </c>
      <c r="G1468" s="1">
        <v>45533</v>
      </c>
      <c r="H1468" t="s">
        <v>11</v>
      </c>
      <c r="I1468">
        <v>2024</v>
      </c>
      <c r="J1468">
        <v>8</v>
      </c>
    </row>
    <row r="1469" spans="1:10" x14ac:dyDescent="0.3">
      <c r="A1469">
        <v>919</v>
      </c>
      <c r="B1469">
        <v>6</v>
      </c>
      <c r="C1469">
        <v>4</v>
      </c>
      <c r="D1469">
        <v>58</v>
      </c>
      <c r="E1469">
        <v>232</v>
      </c>
      <c r="F1469">
        <v>292</v>
      </c>
      <c r="G1469" s="1">
        <v>45634</v>
      </c>
      <c r="H1469" t="s">
        <v>11</v>
      </c>
      <c r="I1469">
        <v>2024</v>
      </c>
      <c r="J1469">
        <v>12</v>
      </c>
    </row>
    <row r="1470" spans="1:10" x14ac:dyDescent="0.3">
      <c r="A1470">
        <v>919</v>
      </c>
      <c r="B1470">
        <v>36</v>
      </c>
      <c r="C1470">
        <v>2</v>
      </c>
      <c r="D1470">
        <v>111</v>
      </c>
      <c r="E1470">
        <v>222</v>
      </c>
      <c r="F1470">
        <v>292</v>
      </c>
      <c r="G1470" s="1">
        <v>45634</v>
      </c>
      <c r="H1470" t="s">
        <v>11</v>
      </c>
      <c r="I1470">
        <v>2024</v>
      </c>
      <c r="J1470">
        <v>12</v>
      </c>
    </row>
    <row r="1471" spans="1:10" x14ac:dyDescent="0.3">
      <c r="A1471">
        <v>597</v>
      </c>
      <c r="B1471">
        <v>18</v>
      </c>
      <c r="C1471">
        <v>5</v>
      </c>
      <c r="D1471">
        <v>36</v>
      </c>
      <c r="E1471">
        <v>180</v>
      </c>
      <c r="F1471">
        <v>119</v>
      </c>
      <c r="G1471" s="1">
        <v>45452</v>
      </c>
      <c r="H1471" t="s">
        <v>11</v>
      </c>
      <c r="I1471">
        <v>2024</v>
      </c>
      <c r="J1471">
        <v>6</v>
      </c>
    </row>
    <row r="1472" spans="1:10" x14ac:dyDescent="0.3">
      <c r="A1472">
        <v>485</v>
      </c>
      <c r="B1472">
        <v>43</v>
      </c>
      <c r="C1472">
        <v>2</v>
      </c>
      <c r="D1472">
        <v>27</v>
      </c>
      <c r="E1472">
        <v>54</v>
      </c>
      <c r="F1472">
        <v>39</v>
      </c>
      <c r="G1472" s="1">
        <v>45483</v>
      </c>
      <c r="H1472" t="s">
        <v>11</v>
      </c>
      <c r="I1472">
        <v>2024</v>
      </c>
      <c r="J1472">
        <v>7</v>
      </c>
    </row>
    <row r="1473" spans="1:10" x14ac:dyDescent="0.3">
      <c r="A1473">
        <v>485</v>
      </c>
      <c r="B1473">
        <v>9</v>
      </c>
      <c r="C1473">
        <v>3</v>
      </c>
      <c r="D1473">
        <v>33</v>
      </c>
      <c r="E1473">
        <v>99</v>
      </c>
      <c r="F1473">
        <v>39</v>
      </c>
      <c r="G1473" s="1">
        <v>45483</v>
      </c>
      <c r="H1473" t="s">
        <v>11</v>
      </c>
      <c r="I1473">
        <v>2024</v>
      </c>
      <c r="J1473">
        <v>7</v>
      </c>
    </row>
    <row r="1474" spans="1:10" x14ac:dyDescent="0.3">
      <c r="A1474">
        <v>485</v>
      </c>
      <c r="B1474">
        <v>8</v>
      </c>
      <c r="C1474">
        <v>5</v>
      </c>
      <c r="D1474">
        <v>100</v>
      </c>
      <c r="E1474">
        <v>500</v>
      </c>
      <c r="F1474">
        <v>39</v>
      </c>
      <c r="G1474" s="1">
        <v>45483</v>
      </c>
      <c r="H1474" t="s">
        <v>11</v>
      </c>
      <c r="I1474">
        <v>2024</v>
      </c>
      <c r="J1474">
        <v>7</v>
      </c>
    </row>
    <row r="1475" spans="1:10" x14ac:dyDescent="0.3">
      <c r="A1475">
        <v>485</v>
      </c>
      <c r="B1475">
        <v>1</v>
      </c>
      <c r="C1475">
        <v>1</v>
      </c>
      <c r="D1475">
        <v>28</v>
      </c>
      <c r="E1475">
        <v>28</v>
      </c>
      <c r="F1475">
        <v>39</v>
      </c>
      <c r="G1475" s="1">
        <v>45483</v>
      </c>
      <c r="H1475" t="s">
        <v>11</v>
      </c>
      <c r="I1475">
        <v>2024</v>
      </c>
      <c r="J1475">
        <v>7</v>
      </c>
    </row>
    <row r="1476" spans="1:10" x14ac:dyDescent="0.3">
      <c r="A1476">
        <v>18</v>
      </c>
      <c r="B1476">
        <v>18</v>
      </c>
      <c r="C1476">
        <v>4</v>
      </c>
      <c r="D1476">
        <v>70</v>
      </c>
      <c r="E1476">
        <v>280</v>
      </c>
      <c r="F1476">
        <v>277</v>
      </c>
      <c r="G1476" s="1">
        <v>45650</v>
      </c>
      <c r="H1476" t="s">
        <v>11</v>
      </c>
      <c r="I1476">
        <v>2024</v>
      </c>
      <c r="J1476">
        <v>12</v>
      </c>
    </row>
    <row r="1477" spans="1:10" x14ac:dyDescent="0.3">
      <c r="A1477">
        <v>758</v>
      </c>
      <c r="B1477">
        <v>32</v>
      </c>
      <c r="C1477">
        <v>1</v>
      </c>
      <c r="D1477">
        <v>77</v>
      </c>
      <c r="E1477">
        <v>77</v>
      </c>
      <c r="F1477">
        <v>13</v>
      </c>
      <c r="G1477" s="1">
        <v>45641</v>
      </c>
      <c r="H1477" t="s">
        <v>11</v>
      </c>
      <c r="I1477">
        <v>2024</v>
      </c>
      <c r="J1477">
        <v>12</v>
      </c>
    </row>
    <row r="1478" spans="1:10" x14ac:dyDescent="0.3">
      <c r="A1478">
        <v>758</v>
      </c>
      <c r="B1478">
        <v>5</v>
      </c>
      <c r="C1478">
        <v>2</v>
      </c>
      <c r="D1478">
        <v>40</v>
      </c>
      <c r="E1478">
        <v>80</v>
      </c>
      <c r="F1478">
        <v>13</v>
      </c>
      <c r="G1478" s="1">
        <v>45641</v>
      </c>
      <c r="H1478" t="s">
        <v>11</v>
      </c>
      <c r="I1478">
        <v>2024</v>
      </c>
      <c r="J1478">
        <v>12</v>
      </c>
    </row>
    <row r="1479" spans="1:10" x14ac:dyDescent="0.3">
      <c r="A1479">
        <v>758</v>
      </c>
      <c r="B1479">
        <v>1</v>
      </c>
      <c r="C1479">
        <v>3</v>
      </c>
      <c r="D1479">
        <v>95</v>
      </c>
      <c r="E1479">
        <v>285</v>
      </c>
      <c r="F1479">
        <v>13</v>
      </c>
      <c r="G1479" s="1">
        <v>45641</v>
      </c>
      <c r="H1479" t="s">
        <v>11</v>
      </c>
      <c r="I1479">
        <v>2024</v>
      </c>
      <c r="J1479">
        <v>12</v>
      </c>
    </row>
    <row r="1480" spans="1:10" x14ac:dyDescent="0.3">
      <c r="A1480">
        <v>758</v>
      </c>
      <c r="B1480">
        <v>14</v>
      </c>
      <c r="C1480">
        <v>4</v>
      </c>
      <c r="D1480">
        <v>77</v>
      </c>
      <c r="E1480">
        <v>308</v>
      </c>
      <c r="F1480">
        <v>13</v>
      </c>
      <c r="G1480" s="1">
        <v>45641</v>
      </c>
      <c r="H1480" t="s">
        <v>11</v>
      </c>
      <c r="I1480">
        <v>2024</v>
      </c>
      <c r="J1480">
        <v>12</v>
      </c>
    </row>
    <row r="1481" spans="1:10" x14ac:dyDescent="0.3">
      <c r="A1481">
        <v>634</v>
      </c>
      <c r="B1481">
        <v>34</v>
      </c>
      <c r="C1481">
        <v>1</v>
      </c>
      <c r="D1481">
        <v>99</v>
      </c>
      <c r="E1481">
        <v>99</v>
      </c>
      <c r="F1481">
        <v>39</v>
      </c>
      <c r="G1481" s="1">
        <v>45609</v>
      </c>
      <c r="H1481" t="s">
        <v>11</v>
      </c>
      <c r="I1481">
        <v>2024</v>
      </c>
      <c r="J1481">
        <v>11</v>
      </c>
    </row>
    <row r="1482" spans="1:10" x14ac:dyDescent="0.3">
      <c r="A1482">
        <v>115</v>
      </c>
      <c r="B1482">
        <v>3</v>
      </c>
      <c r="C1482">
        <v>1</v>
      </c>
      <c r="D1482">
        <v>19</v>
      </c>
      <c r="E1482">
        <v>19</v>
      </c>
      <c r="F1482">
        <v>52</v>
      </c>
      <c r="G1482" s="1">
        <v>45437</v>
      </c>
      <c r="H1482" t="s">
        <v>11</v>
      </c>
      <c r="I1482">
        <v>2024</v>
      </c>
      <c r="J1482">
        <v>5</v>
      </c>
    </row>
    <row r="1483" spans="1:10" x14ac:dyDescent="0.3">
      <c r="A1483">
        <v>234</v>
      </c>
      <c r="B1483">
        <v>16</v>
      </c>
      <c r="C1483">
        <v>3</v>
      </c>
      <c r="D1483">
        <v>50</v>
      </c>
      <c r="E1483">
        <v>150</v>
      </c>
      <c r="F1483">
        <v>104</v>
      </c>
      <c r="G1483" s="1">
        <v>45573</v>
      </c>
      <c r="H1483" t="s">
        <v>11</v>
      </c>
      <c r="I1483">
        <v>2024</v>
      </c>
      <c r="J1483">
        <v>10</v>
      </c>
    </row>
    <row r="1484" spans="1:10" x14ac:dyDescent="0.3">
      <c r="A1484">
        <v>234</v>
      </c>
      <c r="B1484">
        <v>49</v>
      </c>
      <c r="C1484">
        <v>1</v>
      </c>
      <c r="D1484">
        <v>40</v>
      </c>
      <c r="E1484">
        <v>40</v>
      </c>
      <c r="F1484">
        <v>104</v>
      </c>
      <c r="G1484" s="1">
        <v>45573</v>
      </c>
      <c r="H1484" t="s">
        <v>11</v>
      </c>
      <c r="I1484">
        <v>2024</v>
      </c>
      <c r="J1484">
        <v>10</v>
      </c>
    </row>
    <row r="1485" spans="1:10" x14ac:dyDescent="0.3">
      <c r="A1485">
        <v>11</v>
      </c>
      <c r="B1485">
        <v>48</v>
      </c>
      <c r="C1485">
        <v>4</v>
      </c>
      <c r="D1485">
        <v>39</v>
      </c>
      <c r="E1485">
        <v>156</v>
      </c>
      <c r="F1485">
        <v>100</v>
      </c>
      <c r="G1485" s="1">
        <v>45405</v>
      </c>
      <c r="H1485" t="s">
        <v>11</v>
      </c>
      <c r="I1485">
        <v>2024</v>
      </c>
      <c r="J1485">
        <v>4</v>
      </c>
    </row>
    <row r="1486" spans="1:10" x14ac:dyDescent="0.3">
      <c r="A1486">
        <v>11</v>
      </c>
      <c r="B1486">
        <v>6</v>
      </c>
      <c r="C1486">
        <v>5</v>
      </c>
      <c r="D1486">
        <v>81</v>
      </c>
      <c r="E1486">
        <v>405</v>
      </c>
      <c r="F1486">
        <v>100</v>
      </c>
      <c r="G1486" s="1">
        <v>45405</v>
      </c>
      <c r="H1486" t="s">
        <v>11</v>
      </c>
      <c r="I1486">
        <v>2024</v>
      </c>
      <c r="J1486">
        <v>4</v>
      </c>
    </row>
    <row r="1487" spans="1:10" x14ac:dyDescent="0.3">
      <c r="A1487">
        <v>664</v>
      </c>
      <c r="B1487">
        <v>10</v>
      </c>
      <c r="C1487">
        <v>5</v>
      </c>
      <c r="D1487">
        <v>118</v>
      </c>
      <c r="E1487">
        <v>590</v>
      </c>
      <c r="F1487">
        <v>81</v>
      </c>
      <c r="G1487" s="1">
        <v>45579</v>
      </c>
      <c r="H1487" t="s">
        <v>11</v>
      </c>
      <c r="I1487">
        <v>2024</v>
      </c>
      <c r="J1487">
        <v>10</v>
      </c>
    </row>
    <row r="1488" spans="1:10" x14ac:dyDescent="0.3">
      <c r="A1488">
        <v>330</v>
      </c>
      <c r="B1488">
        <v>35</v>
      </c>
      <c r="C1488">
        <v>3</v>
      </c>
      <c r="D1488">
        <v>80</v>
      </c>
      <c r="E1488">
        <v>240</v>
      </c>
      <c r="F1488">
        <v>58</v>
      </c>
      <c r="G1488" s="1">
        <v>45534</v>
      </c>
      <c r="H1488" t="s">
        <v>11</v>
      </c>
      <c r="I1488">
        <v>2024</v>
      </c>
      <c r="J1488">
        <v>8</v>
      </c>
    </row>
    <row r="1489" spans="1:10" x14ac:dyDescent="0.3">
      <c r="A1489">
        <v>936</v>
      </c>
      <c r="B1489">
        <v>39</v>
      </c>
      <c r="C1489">
        <v>2</v>
      </c>
      <c r="D1489">
        <v>100</v>
      </c>
      <c r="E1489">
        <v>200</v>
      </c>
      <c r="F1489">
        <v>104</v>
      </c>
      <c r="G1489" s="1">
        <v>45432</v>
      </c>
      <c r="H1489" t="s">
        <v>11</v>
      </c>
      <c r="I1489">
        <v>2024</v>
      </c>
      <c r="J1489">
        <v>5</v>
      </c>
    </row>
    <row r="1490" spans="1:10" x14ac:dyDescent="0.3">
      <c r="A1490">
        <v>936</v>
      </c>
      <c r="B1490">
        <v>17</v>
      </c>
      <c r="C1490">
        <v>1</v>
      </c>
      <c r="D1490">
        <v>69</v>
      </c>
      <c r="E1490">
        <v>69</v>
      </c>
      <c r="F1490">
        <v>104</v>
      </c>
      <c r="G1490" s="1">
        <v>45432</v>
      </c>
      <c r="H1490" t="s">
        <v>11</v>
      </c>
      <c r="I1490">
        <v>2024</v>
      </c>
      <c r="J1490">
        <v>5</v>
      </c>
    </row>
    <row r="1491" spans="1:10" x14ac:dyDescent="0.3">
      <c r="A1491">
        <v>936</v>
      </c>
      <c r="B1491">
        <v>32</v>
      </c>
      <c r="C1491">
        <v>5</v>
      </c>
      <c r="D1491">
        <v>10</v>
      </c>
      <c r="E1491">
        <v>50</v>
      </c>
      <c r="F1491">
        <v>104</v>
      </c>
      <c r="G1491" s="1">
        <v>45432</v>
      </c>
      <c r="H1491" t="s">
        <v>11</v>
      </c>
      <c r="I1491">
        <v>2024</v>
      </c>
      <c r="J1491">
        <v>5</v>
      </c>
    </row>
    <row r="1492" spans="1:10" x14ac:dyDescent="0.3">
      <c r="A1492">
        <v>71</v>
      </c>
      <c r="B1492">
        <v>40</v>
      </c>
      <c r="C1492">
        <v>1</v>
      </c>
      <c r="D1492">
        <v>37</v>
      </c>
      <c r="E1492">
        <v>37</v>
      </c>
      <c r="F1492">
        <v>188</v>
      </c>
      <c r="G1492" s="1">
        <v>45525</v>
      </c>
      <c r="H1492" t="s">
        <v>11</v>
      </c>
      <c r="I1492">
        <v>2024</v>
      </c>
      <c r="J1492">
        <v>8</v>
      </c>
    </row>
    <row r="1493" spans="1:10" x14ac:dyDescent="0.3">
      <c r="A1493">
        <v>71</v>
      </c>
      <c r="B1493">
        <v>22</v>
      </c>
      <c r="C1493">
        <v>3</v>
      </c>
      <c r="D1493">
        <v>41</v>
      </c>
      <c r="E1493">
        <v>123</v>
      </c>
      <c r="F1493">
        <v>188</v>
      </c>
      <c r="G1493" s="1">
        <v>45525</v>
      </c>
      <c r="H1493" t="s">
        <v>11</v>
      </c>
      <c r="I1493">
        <v>2024</v>
      </c>
      <c r="J1493">
        <v>8</v>
      </c>
    </row>
    <row r="1494" spans="1:10" x14ac:dyDescent="0.3">
      <c r="A1494">
        <v>103</v>
      </c>
      <c r="B1494">
        <v>35</v>
      </c>
      <c r="C1494">
        <v>3</v>
      </c>
      <c r="D1494">
        <v>33</v>
      </c>
      <c r="E1494">
        <v>99</v>
      </c>
      <c r="F1494">
        <v>257</v>
      </c>
      <c r="G1494" s="1">
        <v>45537</v>
      </c>
      <c r="H1494" t="s">
        <v>11</v>
      </c>
      <c r="I1494">
        <v>2024</v>
      </c>
      <c r="J1494">
        <v>9</v>
      </c>
    </row>
    <row r="1495" spans="1:10" x14ac:dyDescent="0.3">
      <c r="A1495">
        <v>251</v>
      </c>
      <c r="B1495">
        <v>40</v>
      </c>
      <c r="C1495">
        <v>2</v>
      </c>
      <c r="D1495">
        <v>111</v>
      </c>
      <c r="E1495">
        <v>222</v>
      </c>
      <c r="F1495">
        <v>33</v>
      </c>
      <c r="G1495" s="1">
        <v>45450</v>
      </c>
      <c r="H1495" t="s">
        <v>11</v>
      </c>
      <c r="I1495">
        <v>2024</v>
      </c>
      <c r="J1495">
        <v>6</v>
      </c>
    </row>
    <row r="1496" spans="1:10" x14ac:dyDescent="0.3">
      <c r="A1496">
        <v>765</v>
      </c>
      <c r="B1496">
        <v>21</v>
      </c>
      <c r="C1496">
        <v>2</v>
      </c>
      <c r="D1496">
        <v>103</v>
      </c>
      <c r="E1496">
        <v>206</v>
      </c>
      <c r="F1496">
        <v>146</v>
      </c>
      <c r="G1496" s="1">
        <v>45292</v>
      </c>
      <c r="H1496" t="s">
        <v>11</v>
      </c>
      <c r="I1496">
        <v>2024</v>
      </c>
      <c r="J1496">
        <v>1</v>
      </c>
    </row>
    <row r="1497" spans="1:10" x14ac:dyDescent="0.3">
      <c r="A1497">
        <v>380</v>
      </c>
      <c r="B1497">
        <v>43</v>
      </c>
      <c r="C1497">
        <v>1</v>
      </c>
      <c r="D1497">
        <v>13</v>
      </c>
      <c r="E1497">
        <v>13</v>
      </c>
      <c r="F1497">
        <v>144</v>
      </c>
      <c r="G1497" s="1">
        <v>45415</v>
      </c>
      <c r="H1497" t="s">
        <v>11</v>
      </c>
      <c r="I1497">
        <v>2024</v>
      </c>
      <c r="J1497">
        <v>5</v>
      </c>
    </row>
    <row r="1498" spans="1:10" x14ac:dyDescent="0.3">
      <c r="A1498">
        <v>380</v>
      </c>
      <c r="B1498">
        <v>29</v>
      </c>
      <c r="C1498">
        <v>2</v>
      </c>
      <c r="D1498">
        <v>87</v>
      </c>
      <c r="E1498">
        <v>174</v>
      </c>
      <c r="F1498">
        <v>144</v>
      </c>
      <c r="G1498" s="1">
        <v>45415</v>
      </c>
      <c r="H1498" t="s">
        <v>11</v>
      </c>
      <c r="I1498">
        <v>2024</v>
      </c>
      <c r="J1498">
        <v>5</v>
      </c>
    </row>
    <row r="1499" spans="1:10" x14ac:dyDescent="0.3">
      <c r="A1499">
        <v>144</v>
      </c>
      <c r="B1499">
        <v>43</v>
      </c>
      <c r="C1499">
        <v>5</v>
      </c>
      <c r="D1499">
        <v>38</v>
      </c>
      <c r="E1499">
        <v>190</v>
      </c>
      <c r="F1499">
        <v>283</v>
      </c>
      <c r="G1499" s="1">
        <v>45355</v>
      </c>
      <c r="H1499" t="s">
        <v>11</v>
      </c>
      <c r="I1499">
        <v>2024</v>
      </c>
      <c r="J1499">
        <v>3</v>
      </c>
    </row>
    <row r="1500" spans="1:10" x14ac:dyDescent="0.3">
      <c r="A1500">
        <v>144</v>
      </c>
      <c r="B1500">
        <v>22</v>
      </c>
      <c r="C1500">
        <v>1</v>
      </c>
      <c r="D1500">
        <v>78</v>
      </c>
      <c r="E1500">
        <v>78</v>
      </c>
      <c r="F1500">
        <v>283</v>
      </c>
      <c r="G1500" s="1">
        <v>45355</v>
      </c>
      <c r="H1500" t="s">
        <v>11</v>
      </c>
      <c r="I1500">
        <v>2024</v>
      </c>
      <c r="J1500">
        <v>3</v>
      </c>
    </row>
    <row r="1501" spans="1:10" x14ac:dyDescent="0.3">
      <c r="A1501">
        <v>364</v>
      </c>
      <c r="B1501">
        <v>45</v>
      </c>
      <c r="C1501">
        <v>4</v>
      </c>
      <c r="D1501">
        <v>30</v>
      </c>
      <c r="E1501">
        <v>120</v>
      </c>
      <c r="F1501">
        <v>239</v>
      </c>
      <c r="G1501" s="1">
        <v>45389</v>
      </c>
      <c r="H1501" t="s">
        <v>11</v>
      </c>
      <c r="I1501">
        <v>2024</v>
      </c>
      <c r="J1501">
        <v>4</v>
      </c>
    </row>
    <row r="1502" spans="1:10" x14ac:dyDescent="0.3">
      <c r="A1502">
        <v>364</v>
      </c>
      <c r="B1502">
        <v>3</v>
      </c>
      <c r="C1502">
        <v>4</v>
      </c>
      <c r="D1502">
        <v>73</v>
      </c>
      <c r="E1502">
        <v>292</v>
      </c>
      <c r="F1502">
        <v>239</v>
      </c>
      <c r="G1502" s="1">
        <v>45389</v>
      </c>
      <c r="H1502" t="s">
        <v>11</v>
      </c>
      <c r="I1502">
        <v>2024</v>
      </c>
      <c r="J1502">
        <v>4</v>
      </c>
    </row>
    <row r="1503" spans="1:10" x14ac:dyDescent="0.3">
      <c r="A1503">
        <v>429</v>
      </c>
      <c r="B1503">
        <v>27</v>
      </c>
      <c r="C1503">
        <v>1</v>
      </c>
      <c r="D1503">
        <v>40</v>
      </c>
      <c r="E1503">
        <v>40</v>
      </c>
      <c r="F1503">
        <v>242</v>
      </c>
      <c r="G1503" s="1">
        <v>45424</v>
      </c>
      <c r="H1503" t="s">
        <v>11</v>
      </c>
      <c r="I1503">
        <v>2024</v>
      </c>
      <c r="J1503">
        <v>5</v>
      </c>
    </row>
    <row r="1504" spans="1:10" x14ac:dyDescent="0.3">
      <c r="A1504">
        <v>429</v>
      </c>
      <c r="B1504">
        <v>30</v>
      </c>
      <c r="C1504">
        <v>2</v>
      </c>
      <c r="D1504">
        <v>55</v>
      </c>
      <c r="E1504">
        <v>110</v>
      </c>
      <c r="F1504">
        <v>242</v>
      </c>
      <c r="G1504" s="1">
        <v>45424</v>
      </c>
      <c r="H1504" t="s">
        <v>11</v>
      </c>
      <c r="I1504">
        <v>2024</v>
      </c>
      <c r="J1504">
        <v>5</v>
      </c>
    </row>
    <row r="1505" spans="1:10" x14ac:dyDescent="0.3">
      <c r="A1505">
        <v>899</v>
      </c>
      <c r="B1505">
        <v>27</v>
      </c>
      <c r="C1505">
        <v>3</v>
      </c>
      <c r="D1505">
        <v>46</v>
      </c>
      <c r="E1505">
        <v>138</v>
      </c>
      <c r="F1505">
        <v>10</v>
      </c>
      <c r="G1505" s="1">
        <v>45401</v>
      </c>
      <c r="H1505" t="s">
        <v>11</v>
      </c>
      <c r="I1505">
        <v>2024</v>
      </c>
      <c r="J1505">
        <v>4</v>
      </c>
    </row>
    <row r="1506" spans="1:10" x14ac:dyDescent="0.3">
      <c r="A1506">
        <v>899</v>
      </c>
      <c r="B1506">
        <v>4</v>
      </c>
      <c r="C1506">
        <v>5</v>
      </c>
      <c r="D1506">
        <v>36</v>
      </c>
      <c r="E1506">
        <v>180</v>
      </c>
      <c r="F1506">
        <v>10</v>
      </c>
      <c r="G1506" s="1">
        <v>45401</v>
      </c>
      <c r="H1506" t="s">
        <v>11</v>
      </c>
      <c r="I1506">
        <v>2024</v>
      </c>
      <c r="J1506">
        <v>4</v>
      </c>
    </row>
    <row r="1507" spans="1:10" x14ac:dyDescent="0.3">
      <c r="A1507">
        <v>899</v>
      </c>
      <c r="B1507">
        <v>21</v>
      </c>
      <c r="C1507">
        <v>5</v>
      </c>
      <c r="D1507">
        <v>29</v>
      </c>
      <c r="E1507">
        <v>145</v>
      </c>
      <c r="F1507">
        <v>10</v>
      </c>
      <c r="G1507" s="1">
        <v>45401</v>
      </c>
      <c r="H1507" t="s">
        <v>11</v>
      </c>
      <c r="I1507">
        <v>2024</v>
      </c>
      <c r="J1507">
        <v>4</v>
      </c>
    </row>
    <row r="1508" spans="1:10" x14ac:dyDescent="0.3">
      <c r="A1508">
        <v>942</v>
      </c>
      <c r="B1508">
        <v>31</v>
      </c>
      <c r="C1508">
        <v>3</v>
      </c>
      <c r="D1508">
        <v>87</v>
      </c>
      <c r="E1508">
        <v>261</v>
      </c>
      <c r="F1508">
        <v>92</v>
      </c>
      <c r="G1508" s="1">
        <v>45448</v>
      </c>
      <c r="H1508" t="s">
        <v>11</v>
      </c>
      <c r="I1508">
        <v>2024</v>
      </c>
      <c r="J1508">
        <v>6</v>
      </c>
    </row>
    <row r="1509" spans="1:10" x14ac:dyDescent="0.3">
      <c r="A1509">
        <v>942</v>
      </c>
      <c r="B1509">
        <v>1</v>
      </c>
      <c r="C1509">
        <v>4</v>
      </c>
      <c r="D1509">
        <v>42</v>
      </c>
      <c r="E1509">
        <v>168</v>
      </c>
      <c r="F1509">
        <v>92</v>
      </c>
      <c r="G1509" s="1">
        <v>45448</v>
      </c>
      <c r="H1509" t="s">
        <v>11</v>
      </c>
      <c r="I1509">
        <v>2024</v>
      </c>
      <c r="J1509">
        <v>6</v>
      </c>
    </row>
    <row r="1510" spans="1:10" x14ac:dyDescent="0.3">
      <c r="A1510">
        <v>57</v>
      </c>
      <c r="B1510">
        <v>26</v>
      </c>
      <c r="C1510">
        <v>2</v>
      </c>
      <c r="D1510">
        <v>78</v>
      </c>
      <c r="E1510">
        <v>156</v>
      </c>
      <c r="F1510">
        <v>202</v>
      </c>
      <c r="G1510" s="1">
        <v>45554</v>
      </c>
      <c r="H1510" t="s">
        <v>11</v>
      </c>
      <c r="I1510">
        <v>2024</v>
      </c>
      <c r="J1510">
        <v>9</v>
      </c>
    </row>
    <row r="1511" spans="1:10" x14ac:dyDescent="0.3">
      <c r="A1511">
        <v>232</v>
      </c>
      <c r="B1511">
        <v>40</v>
      </c>
      <c r="C1511">
        <v>1</v>
      </c>
      <c r="D1511">
        <v>67</v>
      </c>
      <c r="E1511">
        <v>67</v>
      </c>
      <c r="F1511">
        <v>75</v>
      </c>
      <c r="G1511" s="1">
        <v>45307</v>
      </c>
      <c r="H1511" t="s">
        <v>11</v>
      </c>
      <c r="I1511">
        <v>2024</v>
      </c>
      <c r="J1511">
        <v>1</v>
      </c>
    </row>
    <row r="1512" spans="1:10" x14ac:dyDescent="0.3">
      <c r="A1512">
        <v>435</v>
      </c>
      <c r="B1512">
        <v>45</v>
      </c>
      <c r="C1512">
        <v>3</v>
      </c>
      <c r="D1512">
        <v>41</v>
      </c>
      <c r="E1512">
        <v>123</v>
      </c>
      <c r="F1512">
        <v>90</v>
      </c>
      <c r="G1512" s="1">
        <v>45314</v>
      </c>
      <c r="H1512" t="s">
        <v>11</v>
      </c>
      <c r="I1512">
        <v>2024</v>
      </c>
      <c r="J1512">
        <v>1</v>
      </c>
    </row>
    <row r="1513" spans="1:10" x14ac:dyDescent="0.3">
      <c r="A1513">
        <v>534</v>
      </c>
      <c r="B1513">
        <v>28</v>
      </c>
      <c r="C1513">
        <v>1</v>
      </c>
      <c r="D1513">
        <v>83</v>
      </c>
      <c r="E1513">
        <v>83</v>
      </c>
      <c r="F1513">
        <v>126</v>
      </c>
      <c r="G1513" s="1">
        <v>45562</v>
      </c>
      <c r="H1513" t="s">
        <v>11</v>
      </c>
      <c r="I1513">
        <v>2024</v>
      </c>
      <c r="J1513">
        <v>9</v>
      </c>
    </row>
    <row r="1514" spans="1:10" x14ac:dyDescent="0.3">
      <c r="A1514">
        <v>534</v>
      </c>
      <c r="B1514">
        <v>7</v>
      </c>
      <c r="C1514">
        <v>2</v>
      </c>
      <c r="D1514">
        <v>28</v>
      </c>
      <c r="E1514">
        <v>56</v>
      </c>
      <c r="F1514">
        <v>126</v>
      </c>
      <c r="G1514" s="1">
        <v>45562</v>
      </c>
      <c r="H1514" t="s">
        <v>11</v>
      </c>
      <c r="I1514">
        <v>2024</v>
      </c>
      <c r="J1514">
        <v>9</v>
      </c>
    </row>
    <row r="1515" spans="1:10" x14ac:dyDescent="0.3">
      <c r="A1515">
        <v>292</v>
      </c>
      <c r="B1515">
        <v>50</v>
      </c>
      <c r="C1515">
        <v>2</v>
      </c>
      <c r="D1515">
        <v>10</v>
      </c>
      <c r="E1515">
        <v>20</v>
      </c>
      <c r="F1515">
        <v>18</v>
      </c>
      <c r="G1515" s="1">
        <v>45650</v>
      </c>
      <c r="H1515" t="s">
        <v>11</v>
      </c>
      <c r="I1515">
        <v>2024</v>
      </c>
      <c r="J1515">
        <v>12</v>
      </c>
    </row>
    <row r="1516" spans="1:10" x14ac:dyDescent="0.3">
      <c r="A1516">
        <v>732</v>
      </c>
      <c r="B1516">
        <v>6</v>
      </c>
      <c r="C1516">
        <v>4</v>
      </c>
      <c r="D1516">
        <v>42</v>
      </c>
      <c r="E1516">
        <v>168</v>
      </c>
      <c r="F1516">
        <v>78</v>
      </c>
      <c r="G1516" s="1">
        <v>45402</v>
      </c>
      <c r="H1516" t="s">
        <v>11</v>
      </c>
      <c r="I1516">
        <v>2024</v>
      </c>
      <c r="J1516">
        <v>4</v>
      </c>
    </row>
    <row r="1517" spans="1:10" x14ac:dyDescent="0.3">
      <c r="A1517">
        <v>532</v>
      </c>
      <c r="B1517">
        <v>35</v>
      </c>
      <c r="C1517">
        <v>1</v>
      </c>
      <c r="D1517">
        <v>39</v>
      </c>
      <c r="E1517">
        <v>39</v>
      </c>
      <c r="F1517">
        <v>242</v>
      </c>
      <c r="G1517" s="1">
        <v>45303</v>
      </c>
      <c r="H1517" t="s">
        <v>11</v>
      </c>
      <c r="I1517">
        <v>2024</v>
      </c>
      <c r="J1517">
        <v>1</v>
      </c>
    </row>
    <row r="1518" spans="1:10" x14ac:dyDescent="0.3">
      <c r="A1518">
        <v>532</v>
      </c>
      <c r="B1518">
        <v>33</v>
      </c>
      <c r="C1518">
        <v>4</v>
      </c>
      <c r="D1518">
        <v>37</v>
      </c>
      <c r="E1518">
        <v>148</v>
      </c>
      <c r="F1518">
        <v>242</v>
      </c>
      <c r="G1518" s="1">
        <v>45303</v>
      </c>
      <c r="H1518" t="s">
        <v>11</v>
      </c>
      <c r="I1518">
        <v>2024</v>
      </c>
      <c r="J1518">
        <v>1</v>
      </c>
    </row>
    <row r="1519" spans="1:10" x14ac:dyDescent="0.3">
      <c r="A1519">
        <v>960</v>
      </c>
      <c r="B1519">
        <v>33</v>
      </c>
      <c r="C1519">
        <v>2</v>
      </c>
      <c r="D1519">
        <v>66</v>
      </c>
      <c r="E1519">
        <v>132</v>
      </c>
      <c r="F1519">
        <v>154</v>
      </c>
      <c r="G1519" s="1">
        <v>45365</v>
      </c>
      <c r="H1519" t="s">
        <v>11</v>
      </c>
      <c r="I1519">
        <v>2024</v>
      </c>
      <c r="J1519">
        <v>3</v>
      </c>
    </row>
    <row r="1520" spans="1:10" x14ac:dyDescent="0.3">
      <c r="A1520">
        <v>960</v>
      </c>
      <c r="B1520">
        <v>12</v>
      </c>
      <c r="C1520">
        <v>3</v>
      </c>
      <c r="D1520">
        <v>119</v>
      </c>
      <c r="E1520">
        <v>357</v>
      </c>
      <c r="F1520">
        <v>154</v>
      </c>
      <c r="G1520" s="1">
        <v>45365</v>
      </c>
      <c r="H1520" t="s">
        <v>11</v>
      </c>
      <c r="I1520">
        <v>2024</v>
      </c>
      <c r="J1520">
        <v>3</v>
      </c>
    </row>
    <row r="1521" spans="1:10" x14ac:dyDescent="0.3">
      <c r="A1521">
        <v>323</v>
      </c>
      <c r="B1521">
        <v>24</v>
      </c>
      <c r="C1521">
        <v>1</v>
      </c>
      <c r="D1521">
        <v>56</v>
      </c>
      <c r="E1521">
        <v>56</v>
      </c>
      <c r="F1521">
        <v>51</v>
      </c>
      <c r="G1521" s="1">
        <v>45551</v>
      </c>
      <c r="H1521" t="s">
        <v>11</v>
      </c>
      <c r="I1521">
        <v>2024</v>
      </c>
      <c r="J1521">
        <v>9</v>
      </c>
    </row>
    <row r="1522" spans="1:10" x14ac:dyDescent="0.3">
      <c r="A1522">
        <v>572</v>
      </c>
      <c r="B1522">
        <v>34</v>
      </c>
      <c r="C1522">
        <v>2</v>
      </c>
      <c r="D1522">
        <v>115</v>
      </c>
      <c r="E1522">
        <v>230</v>
      </c>
      <c r="F1522">
        <v>90</v>
      </c>
      <c r="G1522" s="1">
        <v>45568</v>
      </c>
      <c r="H1522" t="s">
        <v>11</v>
      </c>
      <c r="I1522">
        <v>2024</v>
      </c>
      <c r="J1522">
        <v>10</v>
      </c>
    </row>
    <row r="1523" spans="1:10" x14ac:dyDescent="0.3">
      <c r="A1523">
        <v>859</v>
      </c>
      <c r="B1523">
        <v>9</v>
      </c>
      <c r="C1523">
        <v>5</v>
      </c>
      <c r="D1523">
        <v>38</v>
      </c>
      <c r="E1523">
        <v>190</v>
      </c>
      <c r="F1523">
        <v>78</v>
      </c>
      <c r="G1523" s="1">
        <v>45354</v>
      </c>
      <c r="H1523" t="s">
        <v>11</v>
      </c>
      <c r="I1523">
        <v>2024</v>
      </c>
      <c r="J1523">
        <v>3</v>
      </c>
    </row>
    <row r="1524" spans="1:10" x14ac:dyDescent="0.3">
      <c r="A1524">
        <v>859</v>
      </c>
      <c r="B1524">
        <v>27</v>
      </c>
      <c r="C1524">
        <v>3</v>
      </c>
      <c r="D1524">
        <v>12</v>
      </c>
      <c r="E1524">
        <v>36</v>
      </c>
      <c r="F1524">
        <v>78</v>
      </c>
      <c r="G1524" s="1">
        <v>45354</v>
      </c>
      <c r="H1524" t="s">
        <v>11</v>
      </c>
      <c r="I1524">
        <v>2024</v>
      </c>
      <c r="J1524">
        <v>3</v>
      </c>
    </row>
    <row r="1525" spans="1:10" x14ac:dyDescent="0.3">
      <c r="A1525">
        <v>62</v>
      </c>
      <c r="B1525">
        <v>33</v>
      </c>
      <c r="C1525">
        <v>4</v>
      </c>
      <c r="D1525">
        <v>65</v>
      </c>
      <c r="E1525">
        <v>260</v>
      </c>
      <c r="F1525">
        <v>190</v>
      </c>
      <c r="G1525" s="1">
        <v>45403</v>
      </c>
      <c r="H1525" t="s">
        <v>11</v>
      </c>
      <c r="I1525">
        <v>2024</v>
      </c>
      <c r="J1525">
        <v>4</v>
      </c>
    </row>
    <row r="1526" spans="1:10" x14ac:dyDescent="0.3">
      <c r="A1526">
        <v>62</v>
      </c>
      <c r="B1526">
        <v>28</v>
      </c>
      <c r="C1526">
        <v>1</v>
      </c>
      <c r="D1526">
        <v>89</v>
      </c>
      <c r="E1526">
        <v>89</v>
      </c>
      <c r="F1526">
        <v>190</v>
      </c>
      <c r="G1526" s="1">
        <v>45403</v>
      </c>
      <c r="H1526" t="s">
        <v>11</v>
      </c>
      <c r="I1526">
        <v>2024</v>
      </c>
      <c r="J1526">
        <v>4</v>
      </c>
    </row>
    <row r="1527" spans="1:10" x14ac:dyDescent="0.3">
      <c r="A1527">
        <v>348</v>
      </c>
      <c r="B1527">
        <v>40</v>
      </c>
      <c r="C1527">
        <v>5</v>
      </c>
      <c r="D1527">
        <v>45</v>
      </c>
      <c r="E1527">
        <v>225</v>
      </c>
      <c r="F1527">
        <v>106</v>
      </c>
      <c r="G1527" s="1">
        <v>45532</v>
      </c>
      <c r="H1527" t="s">
        <v>11</v>
      </c>
      <c r="I1527">
        <v>2024</v>
      </c>
      <c r="J1527">
        <v>8</v>
      </c>
    </row>
    <row r="1528" spans="1:10" x14ac:dyDescent="0.3">
      <c r="A1528">
        <v>482</v>
      </c>
      <c r="B1528">
        <v>25</v>
      </c>
      <c r="C1528">
        <v>1</v>
      </c>
      <c r="D1528">
        <v>58</v>
      </c>
      <c r="E1528">
        <v>58</v>
      </c>
      <c r="F1528">
        <v>151</v>
      </c>
      <c r="G1528" s="1">
        <v>45501</v>
      </c>
      <c r="H1528" t="s">
        <v>11</v>
      </c>
      <c r="I1528">
        <v>2024</v>
      </c>
      <c r="J1528">
        <v>7</v>
      </c>
    </row>
    <row r="1529" spans="1:10" x14ac:dyDescent="0.3">
      <c r="A1529">
        <v>48</v>
      </c>
      <c r="B1529">
        <v>6</v>
      </c>
      <c r="C1529">
        <v>2</v>
      </c>
      <c r="D1529">
        <v>59</v>
      </c>
      <c r="E1529">
        <v>118</v>
      </c>
      <c r="F1529">
        <v>50</v>
      </c>
      <c r="G1529" s="1">
        <v>45579</v>
      </c>
      <c r="H1529" t="s">
        <v>11</v>
      </c>
      <c r="I1529">
        <v>2024</v>
      </c>
      <c r="J1529">
        <v>10</v>
      </c>
    </row>
    <row r="1530" spans="1:10" x14ac:dyDescent="0.3">
      <c r="A1530">
        <v>48</v>
      </c>
      <c r="B1530">
        <v>34</v>
      </c>
      <c r="C1530">
        <v>4</v>
      </c>
      <c r="D1530">
        <v>38</v>
      </c>
      <c r="E1530">
        <v>152</v>
      </c>
      <c r="F1530">
        <v>50</v>
      </c>
      <c r="G1530" s="1">
        <v>45579</v>
      </c>
      <c r="H1530" t="s">
        <v>11</v>
      </c>
      <c r="I1530">
        <v>2024</v>
      </c>
      <c r="J1530">
        <v>10</v>
      </c>
    </row>
    <row r="1531" spans="1:10" x14ac:dyDescent="0.3">
      <c r="A1531">
        <v>136</v>
      </c>
      <c r="B1531">
        <v>48</v>
      </c>
      <c r="C1531">
        <v>3</v>
      </c>
      <c r="D1531">
        <v>66</v>
      </c>
      <c r="E1531">
        <v>198</v>
      </c>
      <c r="F1531">
        <v>28</v>
      </c>
      <c r="G1531" s="1">
        <v>45389</v>
      </c>
      <c r="H1531" t="s">
        <v>11</v>
      </c>
      <c r="I1531">
        <v>2024</v>
      </c>
      <c r="J1531">
        <v>4</v>
      </c>
    </row>
    <row r="1532" spans="1:10" x14ac:dyDescent="0.3">
      <c r="A1532">
        <v>201</v>
      </c>
      <c r="B1532">
        <v>43</v>
      </c>
      <c r="C1532">
        <v>2</v>
      </c>
      <c r="D1532">
        <v>59</v>
      </c>
      <c r="E1532">
        <v>118</v>
      </c>
      <c r="F1532">
        <v>147</v>
      </c>
      <c r="G1532" s="1">
        <v>45303</v>
      </c>
      <c r="H1532" t="s">
        <v>11</v>
      </c>
      <c r="I1532">
        <v>2024</v>
      </c>
      <c r="J1532">
        <v>1</v>
      </c>
    </row>
    <row r="1533" spans="1:10" x14ac:dyDescent="0.3">
      <c r="A1533">
        <v>201</v>
      </c>
      <c r="B1533">
        <v>47</v>
      </c>
      <c r="C1533">
        <v>3</v>
      </c>
      <c r="D1533">
        <v>92</v>
      </c>
      <c r="E1533">
        <v>276</v>
      </c>
      <c r="F1533">
        <v>147</v>
      </c>
      <c r="G1533" s="1">
        <v>45303</v>
      </c>
      <c r="H1533" t="s">
        <v>11</v>
      </c>
      <c r="I1533">
        <v>2024</v>
      </c>
      <c r="J1533">
        <v>1</v>
      </c>
    </row>
    <row r="1534" spans="1:10" x14ac:dyDescent="0.3">
      <c r="A1534">
        <v>211</v>
      </c>
      <c r="B1534">
        <v>45</v>
      </c>
      <c r="C1534">
        <v>2</v>
      </c>
      <c r="D1534">
        <v>73</v>
      </c>
      <c r="E1534">
        <v>146</v>
      </c>
      <c r="F1534">
        <v>263</v>
      </c>
      <c r="G1534" s="1">
        <v>45303</v>
      </c>
      <c r="H1534" t="s">
        <v>11</v>
      </c>
      <c r="I1534">
        <v>2024</v>
      </c>
      <c r="J1534">
        <v>1</v>
      </c>
    </row>
    <row r="1535" spans="1:10" x14ac:dyDescent="0.3">
      <c r="A1535">
        <v>211</v>
      </c>
      <c r="B1535">
        <v>15</v>
      </c>
      <c r="C1535">
        <v>5</v>
      </c>
      <c r="D1535">
        <v>98</v>
      </c>
      <c r="E1535">
        <v>490</v>
      </c>
      <c r="F1535">
        <v>263</v>
      </c>
      <c r="G1535" s="1">
        <v>45303</v>
      </c>
      <c r="H1535" t="s">
        <v>11</v>
      </c>
      <c r="I1535">
        <v>2024</v>
      </c>
      <c r="J1535">
        <v>1</v>
      </c>
    </row>
    <row r="1536" spans="1:10" x14ac:dyDescent="0.3">
      <c r="A1536">
        <v>211</v>
      </c>
      <c r="B1536">
        <v>32</v>
      </c>
      <c r="C1536">
        <v>4</v>
      </c>
      <c r="D1536">
        <v>27</v>
      </c>
      <c r="E1536">
        <v>108</v>
      </c>
      <c r="F1536">
        <v>263</v>
      </c>
      <c r="G1536" s="1">
        <v>45303</v>
      </c>
      <c r="H1536" t="s">
        <v>11</v>
      </c>
      <c r="I1536">
        <v>2024</v>
      </c>
      <c r="J1536">
        <v>1</v>
      </c>
    </row>
    <row r="1537" spans="1:10" x14ac:dyDescent="0.3">
      <c r="A1537">
        <v>704</v>
      </c>
      <c r="B1537">
        <v>9</v>
      </c>
      <c r="C1537">
        <v>2</v>
      </c>
      <c r="D1537">
        <v>89</v>
      </c>
      <c r="E1537">
        <v>178</v>
      </c>
      <c r="F1537">
        <v>46</v>
      </c>
      <c r="G1537" s="1">
        <v>45553</v>
      </c>
      <c r="H1537" t="s">
        <v>11</v>
      </c>
      <c r="I1537">
        <v>2024</v>
      </c>
      <c r="J1537">
        <v>9</v>
      </c>
    </row>
    <row r="1538" spans="1:10" x14ac:dyDescent="0.3">
      <c r="A1538">
        <v>442</v>
      </c>
      <c r="B1538">
        <v>18</v>
      </c>
      <c r="C1538">
        <v>2</v>
      </c>
      <c r="D1538">
        <v>101</v>
      </c>
      <c r="E1538">
        <v>202</v>
      </c>
      <c r="F1538">
        <v>277</v>
      </c>
      <c r="G1538" s="1">
        <v>45549</v>
      </c>
      <c r="H1538" t="s">
        <v>11</v>
      </c>
      <c r="I1538">
        <v>2024</v>
      </c>
      <c r="J1538">
        <v>9</v>
      </c>
    </row>
    <row r="1539" spans="1:10" x14ac:dyDescent="0.3">
      <c r="A1539">
        <v>442</v>
      </c>
      <c r="B1539">
        <v>15</v>
      </c>
      <c r="C1539">
        <v>1</v>
      </c>
      <c r="D1539">
        <v>88</v>
      </c>
      <c r="E1539">
        <v>88</v>
      </c>
      <c r="F1539">
        <v>277</v>
      </c>
      <c r="G1539" s="1">
        <v>45549</v>
      </c>
      <c r="H1539" t="s">
        <v>11</v>
      </c>
      <c r="I1539">
        <v>2024</v>
      </c>
      <c r="J1539">
        <v>9</v>
      </c>
    </row>
    <row r="1540" spans="1:10" x14ac:dyDescent="0.3">
      <c r="A1540">
        <v>400</v>
      </c>
      <c r="B1540">
        <v>2</v>
      </c>
      <c r="C1540">
        <v>4</v>
      </c>
      <c r="D1540">
        <v>24</v>
      </c>
      <c r="E1540">
        <v>96</v>
      </c>
      <c r="F1540">
        <v>100</v>
      </c>
      <c r="G1540" s="1">
        <v>45347</v>
      </c>
      <c r="H1540" t="s">
        <v>11</v>
      </c>
      <c r="I1540">
        <v>2024</v>
      </c>
      <c r="J1540">
        <v>2</v>
      </c>
    </row>
    <row r="1541" spans="1:10" x14ac:dyDescent="0.3">
      <c r="A1541">
        <v>400</v>
      </c>
      <c r="B1541">
        <v>44</v>
      </c>
      <c r="C1541">
        <v>2</v>
      </c>
      <c r="D1541">
        <v>66</v>
      </c>
      <c r="E1541">
        <v>132</v>
      </c>
      <c r="F1541">
        <v>100</v>
      </c>
      <c r="G1541" s="1">
        <v>45347</v>
      </c>
      <c r="H1541" t="s">
        <v>11</v>
      </c>
      <c r="I1541">
        <v>2024</v>
      </c>
      <c r="J1541">
        <v>2</v>
      </c>
    </row>
    <row r="1542" spans="1:10" x14ac:dyDescent="0.3">
      <c r="A1542">
        <v>727</v>
      </c>
      <c r="B1542">
        <v>29</v>
      </c>
      <c r="C1542">
        <v>3</v>
      </c>
      <c r="D1542">
        <v>103</v>
      </c>
      <c r="E1542">
        <v>309</v>
      </c>
      <c r="F1542">
        <v>127</v>
      </c>
      <c r="G1542" s="1">
        <v>45584</v>
      </c>
      <c r="H1542" t="s">
        <v>11</v>
      </c>
      <c r="I1542">
        <v>2024</v>
      </c>
      <c r="J1542">
        <v>10</v>
      </c>
    </row>
    <row r="1543" spans="1:10" x14ac:dyDescent="0.3">
      <c r="A1543">
        <v>789</v>
      </c>
      <c r="B1543">
        <v>42</v>
      </c>
      <c r="C1543">
        <v>2</v>
      </c>
      <c r="D1543">
        <v>95</v>
      </c>
      <c r="E1543">
        <v>190</v>
      </c>
      <c r="F1543">
        <v>152</v>
      </c>
      <c r="G1543" s="1">
        <v>45410</v>
      </c>
      <c r="H1543" t="s">
        <v>11</v>
      </c>
      <c r="I1543">
        <v>2024</v>
      </c>
      <c r="J1543">
        <v>4</v>
      </c>
    </row>
    <row r="1544" spans="1:10" x14ac:dyDescent="0.3">
      <c r="A1544">
        <v>576</v>
      </c>
      <c r="B1544">
        <v>45</v>
      </c>
      <c r="C1544">
        <v>1</v>
      </c>
      <c r="D1544">
        <v>83</v>
      </c>
      <c r="E1544">
        <v>83</v>
      </c>
      <c r="F1544">
        <v>28</v>
      </c>
      <c r="G1544" s="1">
        <v>45386</v>
      </c>
      <c r="H1544" t="s">
        <v>11</v>
      </c>
      <c r="I1544">
        <v>2024</v>
      </c>
      <c r="J1544">
        <v>4</v>
      </c>
    </row>
    <row r="1545" spans="1:10" x14ac:dyDescent="0.3">
      <c r="A1545">
        <v>470</v>
      </c>
      <c r="B1545">
        <v>48</v>
      </c>
      <c r="C1545">
        <v>3</v>
      </c>
      <c r="D1545">
        <v>55</v>
      </c>
      <c r="E1545">
        <v>165</v>
      </c>
      <c r="F1545">
        <v>233</v>
      </c>
      <c r="G1545" s="1">
        <v>45569</v>
      </c>
      <c r="H1545" t="s">
        <v>11</v>
      </c>
      <c r="I1545">
        <v>2024</v>
      </c>
      <c r="J1545">
        <v>10</v>
      </c>
    </row>
    <row r="1546" spans="1:10" x14ac:dyDescent="0.3">
      <c r="A1546">
        <v>955</v>
      </c>
      <c r="B1546">
        <v>2</v>
      </c>
      <c r="C1546">
        <v>1</v>
      </c>
      <c r="D1546">
        <v>61</v>
      </c>
      <c r="E1546">
        <v>61</v>
      </c>
      <c r="F1546">
        <v>55</v>
      </c>
      <c r="G1546" s="1">
        <v>45636</v>
      </c>
      <c r="H1546" t="s">
        <v>11</v>
      </c>
      <c r="I1546">
        <v>2024</v>
      </c>
      <c r="J1546">
        <v>12</v>
      </c>
    </row>
    <row r="1547" spans="1:10" x14ac:dyDescent="0.3">
      <c r="A1547">
        <v>955</v>
      </c>
      <c r="B1547">
        <v>29</v>
      </c>
      <c r="C1547">
        <v>5</v>
      </c>
      <c r="D1547">
        <v>13</v>
      </c>
      <c r="E1547">
        <v>65</v>
      </c>
      <c r="F1547">
        <v>55</v>
      </c>
      <c r="G1547" s="1">
        <v>45636</v>
      </c>
      <c r="H1547" t="s">
        <v>11</v>
      </c>
      <c r="I1547">
        <v>2024</v>
      </c>
      <c r="J1547">
        <v>12</v>
      </c>
    </row>
    <row r="1548" spans="1:10" x14ac:dyDescent="0.3">
      <c r="A1548">
        <v>386</v>
      </c>
      <c r="B1548">
        <v>23</v>
      </c>
      <c r="C1548">
        <v>3</v>
      </c>
      <c r="D1548">
        <v>98</v>
      </c>
      <c r="E1548">
        <v>294</v>
      </c>
      <c r="F1548">
        <v>47</v>
      </c>
      <c r="G1548" s="1">
        <v>45328</v>
      </c>
      <c r="H1548" t="s">
        <v>11</v>
      </c>
      <c r="I1548">
        <v>2024</v>
      </c>
      <c r="J1548">
        <v>2</v>
      </c>
    </row>
    <row r="1549" spans="1:10" x14ac:dyDescent="0.3">
      <c r="A1549">
        <v>395</v>
      </c>
      <c r="B1549">
        <v>29</v>
      </c>
      <c r="C1549">
        <v>2</v>
      </c>
      <c r="D1549">
        <v>63</v>
      </c>
      <c r="E1549">
        <v>126</v>
      </c>
      <c r="F1549">
        <v>222</v>
      </c>
      <c r="G1549" s="1">
        <v>45609</v>
      </c>
      <c r="H1549" t="s">
        <v>11</v>
      </c>
      <c r="I1549">
        <v>2024</v>
      </c>
      <c r="J1549">
        <v>11</v>
      </c>
    </row>
    <row r="1550" spans="1:10" x14ac:dyDescent="0.3">
      <c r="A1550">
        <v>730</v>
      </c>
      <c r="B1550">
        <v>31</v>
      </c>
      <c r="C1550">
        <v>1</v>
      </c>
      <c r="D1550">
        <v>39</v>
      </c>
      <c r="E1550">
        <v>39</v>
      </c>
      <c r="F1550">
        <v>14</v>
      </c>
      <c r="G1550" s="1">
        <v>45609</v>
      </c>
      <c r="H1550" t="s">
        <v>11</v>
      </c>
      <c r="I1550">
        <v>2024</v>
      </c>
      <c r="J1550">
        <v>11</v>
      </c>
    </row>
    <row r="1551" spans="1:10" x14ac:dyDescent="0.3">
      <c r="A1551">
        <v>396</v>
      </c>
      <c r="B1551">
        <v>50</v>
      </c>
      <c r="C1551">
        <v>1</v>
      </c>
      <c r="D1551">
        <v>111</v>
      </c>
      <c r="E1551">
        <v>111</v>
      </c>
      <c r="F1551">
        <v>23</v>
      </c>
      <c r="G1551" s="1">
        <v>45640</v>
      </c>
      <c r="H1551" t="s">
        <v>11</v>
      </c>
      <c r="I1551">
        <v>2024</v>
      </c>
      <c r="J1551">
        <v>12</v>
      </c>
    </row>
    <row r="1552" spans="1:10" x14ac:dyDescent="0.3">
      <c r="A1552">
        <v>371</v>
      </c>
      <c r="B1552">
        <v>20</v>
      </c>
      <c r="C1552">
        <v>2</v>
      </c>
      <c r="D1552">
        <v>31</v>
      </c>
      <c r="E1552">
        <v>62</v>
      </c>
      <c r="F1552">
        <v>237</v>
      </c>
      <c r="G1552" s="1">
        <v>45486</v>
      </c>
      <c r="H1552" t="s">
        <v>11</v>
      </c>
      <c r="I1552">
        <v>2024</v>
      </c>
      <c r="J1552">
        <v>7</v>
      </c>
    </row>
    <row r="1553" spans="1:10" x14ac:dyDescent="0.3">
      <c r="A1553">
        <v>371</v>
      </c>
      <c r="B1553">
        <v>7</v>
      </c>
      <c r="C1553">
        <v>3</v>
      </c>
      <c r="D1553">
        <v>27</v>
      </c>
      <c r="E1553">
        <v>81</v>
      </c>
      <c r="F1553">
        <v>237</v>
      </c>
      <c r="G1553" s="1">
        <v>45486</v>
      </c>
      <c r="H1553" t="s">
        <v>11</v>
      </c>
      <c r="I1553">
        <v>2024</v>
      </c>
      <c r="J1553">
        <v>7</v>
      </c>
    </row>
    <row r="1554" spans="1:10" x14ac:dyDescent="0.3">
      <c r="A1554">
        <v>222</v>
      </c>
      <c r="B1554">
        <v>20</v>
      </c>
      <c r="C1554">
        <v>2</v>
      </c>
      <c r="D1554">
        <v>35</v>
      </c>
      <c r="E1554">
        <v>70</v>
      </c>
      <c r="F1554">
        <v>233</v>
      </c>
      <c r="G1554" s="1">
        <v>45316</v>
      </c>
      <c r="H1554" t="s">
        <v>11</v>
      </c>
      <c r="I1554">
        <v>2024</v>
      </c>
      <c r="J1554">
        <v>1</v>
      </c>
    </row>
    <row r="1555" spans="1:10" x14ac:dyDescent="0.3">
      <c r="A1555">
        <v>222</v>
      </c>
      <c r="B1555">
        <v>28</v>
      </c>
      <c r="C1555">
        <v>1</v>
      </c>
      <c r="D1555">
        <v>92</v>
      </c>
      <c r="E1555">
        <v>92</v>
      </c>
      <c r="F1555">
        <v>233</v>
      </c>
      <c r="G1555" s="1">
        <v>45316</v>
      </c>
      <c r="H1555" t="s">
        <v>11</v>
      </c>
      <c r="I1555">
        <v>2024</v>
      </c>
      <c r="J1555">
        <v>1</v>
      </c>
    </row>
    <row r="1556" spans="1:10" x14ac:dyDescent="0.3">
      <c r="A1556">
        <v>903</v>
      </c>
      <c r="B1556">
        <v>35</v>
      </c>
      <c r="C1556">
        <v>2</v>
      </c>
      <c r="D1556">
        <v>47</v>
      </c>
      <c r="E1556">
        <v>94</v>
      </c>
      <c r="F1556">
        <v>294</v>
      </c>
      <c r="G1556" s="1">
        <v>45376</v>
      </c>
      <c r="H1556" t="s">
        <v>11</v>
      </c>
      <c r="I1556">
        <v>2024</v>
      </c>
      <c r="J1556">
        <v>3</v>
      </c>
    </row>
    <row r="1557" spans="1:10" x14ac:dyDescent="0.3">
      <c r="A1557">
        <v>999</v>
      </c>
      <c r="B1557">
        <v>19</v>
      </c>
      <c r="C1557">
        <v>2</v>
      </c>
      <c r="D1557">
        <v>18</v>
      </c>
      <c r="E1557">
        <v>36</v>
      </c>
      <c r="F1557">
        <v>158</v>
      </c>
      <c r="G1557" s="1">
        <v>45351</v>
      </c>
      <c r="H1557" t="s">
        <v>11</v>
      </c>
      <c r="I1557">
        <v>2024</v>
      </c>
      <c r="J1557">
        <v>2</v>
      </c>
    </row>
    <row r="1558" spans="1:10" x14ac:dyDescent="0.3">
      <c r="A1558">
        <v>975</v>
      </c>
      <c r="B1558">
        <v>36</v>
      </c>
      <c r="C1558">
        <v>4</v>
      </c>
      <c r="D1558">
        <v>84</v>
      </c>
      <c r="E1558">
        <v>336</v>
      </c>
      <c r="F1558">
        <v>25</v>
      </c>
      <c r="G1558" s="1">
        <v>45432</v>
      </c>
      <c r="H1558" t="s">
        <v>11</v>
      </c>
      <c r="I1558">
        <v>2024</v>
      </c>
      <c r="J1558">
        <v>5</v>
      </c>
    </row>
    <row r="1559" spans="1:10" x14ac:dyDescent="0.3">
      <c r="A1559">
        <v>975</v>
      </c>
      <c r="B1559">
        <v>41</v>
      </c>
      <c r="C1559">
        <v>3</v>
      </c>
      <c r="D1559">
        <v>14</v>
      </c>
      <c r="E1559">
        <v>42</v>
      </c>
      <c r="F1559">
        <v>25</v>
      </c>
      <c r="G1559" s="1">
        <v>45432</v>
      </c>
      <c r="H1559" t="s">
        <v>11</v>
      </c>
      <c r="I1559">
        <v>2024</v>
      </c>
      <c r="J1559">
        <v>5</v>
      </c>
    </row>
    <row r="1560" spans="1:10" x14ac:dyDescent="0.3">
      <c r="A1560">
        <v>388</v>
      </c>
      <c r="B1560">
        <v>30</v>
      </c>
      <c r="C1560">
        <v>4</v>
      </c>
      <c r="D1560">
        <v>89</v>
      </c>
      <c r="E1560">
        <v>356</v>
      </c>
      <c r="F1560">
        <v>238</v>
      </c>
      <c r="G1560" s="1">
        <v>45467</v>
      </c>
      <c r="H1560" t="s">
        <v>11</v>
      </c>
      <c r="I1560">
        <v>2024</v>
      </c>
      <c r="J1560">
        <v>6</v>
      </c>
    </row>
    <row r="1561" spans="1:10" x14ac:dyDescent="0.3">
      <c r="A1561">
        <v>887</v>
      </c>
      <c r="B1561">
        <v>25</v>
      </c>
      <c r="C1561">
        <v>5</v>
      </c>
      <c r="D1561">
        <v>115</v>
      </c>
      <c r="E1561">
        <v>575</v>
      </c>
      <c r="F1561">
        <v>15</v>
      </c>
      <c r="G1561" s="1">
        <v>45356</v>
      </c>
      <c r="H1561" t="s">
        <v>11</v>
      </c>
      <c r="I1561">
        <v>2024</v>
      </c>
      <c r="J1561">
        <v>3</v>
      </c>
    </row>
    <row r="1562" spans="1:10" x14ac:dyDescent="0.3">
      <c r="A1562">
        <v>838</v>
      </c>
      <c r="B1562">
        <v>16</v>
      </c>
      <c r="C1562">
        <v>4</v>
      </c>
      <c r="D1562">
        <v>117</v>
      </c>
      <c r="E1562">
        <v>468</v>
      </c>
      <c r="F1562">
        <v>273</v>
      </c>
      <c r="G1562" s="1">
        <v>45436</v>
      </c>
      <c r="H1562" t="s">
        <v>11</v>
      </c>
      <c r="I1562">
        <v>2024</v>
      </c>
      <c r="J1562">
        <v>5</v>
      </c>
    </row>
    <row r="1563" spans="1:10" x14ac:dyDescent="0.3">
      <c r="A1563">
        <v>984</v>
      </c>
      <c r="B1563">
        <v>47</v>
      </c>
      <c r="C1563">
        <v>3</v>
      </c>
      <c r="D1563">
        <v>81</v>
      </c>
      <c r="E1563">
        <v>243</v>
      </c>
      <c r="F1563">
        <v>156</v>
      </c>
      <c r="G1563" s="1">
        <v>45412</v>
      </c>
      <c r="H1563" t="s">
        <v>11</v>
      </c>
      <c r="I1563">
        <v>2024</v>
      </c>
      <c r="J1563">
        <v>4</v>
      </c>
    </row>
    <row r="1564" spans="1:10" x14ac:dyDescent="0.3">
      <c r="A1564">
        <v>70</v>
      </c>
      <c r="B1564">
        <v>27</v>
      </c>
      <c r="C1564">
        <v>3</v>
      </c>
      <c r="D1564">
        <v>16</v>
      </c>
      <c r="E1564">
        <v>48</v>
      </c>
      <c r="F1564">
        <v>252</v>
      </c>
      <c r="G1564" s="1">
        <v>45302</v>
      </c>
      <c r="H1564" t="s">
        <v>11</v>
      </c>
      <c r="I1564">
        <v>2024</v>
      </c>
      <c r="J1564">
        <v>1</v>
      </c>
    </row>
    <row r="1565" spans="1:10" x14ac:dyDescent="0.3">
      <c r="A1565">
        <v>893</v>
      </c>
      <c r="B1565">
        <v>10</v>
      </c>
      <c r="C1565">
        <v>2</v>
      </c>
      <c r="D1565">
        <v>18</v>
      </c>
      <c r="E1565">
        <v>36</v>
      </c>
      <c r="F1565">
        <v>38</v>
      </c>
      <c r="G1565" s="1">
        <v>45596</v>
      </c>
      <c r="H1565" t="s">
        <v>11</v>
      </c>
      <c r="I1565">
        <v>2024</v>
      </c>
      <c r="J1565">
        <v>10</v>
      </c>
    </row>
    <row r="1566" spans="1:10" x14ac:dyDescent="0.3">
      <c r="A1566">
        <v>893</v>
      </c>
      <c r="B1566">
        <v>32</v>
      </c>
      <c r="C1566">
        <v>1</v>
      </c>
      <c r="D1566">
        <v>99</v>
      </c>
      <c r="E1566">
        <v>99</v>
      </c>
      <c r="F1566">
        <v>38</v>
      </c>
      <c r="G1566" s="1">
        <v>45596</v>
      </c>
      <c r="H1566" t="s">
        <v>11</v>
      </c>
      <c r="I1566">
        <v>2024</v>
      </c>
      <c r="J1566">
        <v>10</v>
      </c>
    </row>
    <row r="1567" spans="1:10" x14ac:dyDescent="0.3">
      <c r="A1567">
        <v>217</v>
      </c>
      <c r="B1567">
        <v>46</v>
      </c>
      <c r="C1567">
        <v>2</v>
      </c>
      <c r="D1567">
        <v>40</v>
      </c>
      <c r="E1567">
        <v>80</v>
      </c>
      <c r="F1567">
        <v>254</v>
      </c>
      <c r="G1567" s="1">
        <v>45440</v>
      </c>
      <c r="H1567" t="s">
        <v>11</v>
      </c>
      <c r="I1567">
        <v>2024</v>
      </c>
      <c r="J1567">
        <v>5</v>
      </c>
    </row>
    <row r="1568" spans="1:10" x14ac:dyDescent="0.3">
      <c r="A1568">
        <v>56</v>
      </c>
      <c r="B1568">
        <v>24</v>
      </c>
      <c r="C1568">
        <v>3</v>
      </c>
      <c r="D1568">
        <v>42</v>
      </c>
      <c r="E1568">
        <v>126</v>
      </c>
      <c r="F1568">
        <v>162</v>
      </c>
      <c r="G1568" s="1">
        <v>45621</v>
      </c>
      <c r="H1568" t="s">
        <v>11</v>
      </c>
      <c r="I1568">
        <v>2024</v>
      </c>
      <c r="J1568">
        <v>11</v>
      </c>
    </row>
    <row r="1569" spans="1:10" x14ac:dyDescent="0.3">
      <c r="A1569">
        <v>56</v>
      </c>
      <c r="B1569">
        <v>1</v>
      </c>
      <c r="C1569">
        <v>4</v>
      </c>
      <c r="D1569">
        <v>98</v>
      </c>
      <c r="E1569">
        <v>392</v>
      </c>
      <c r="F1569">
        <v>162</v>
      </c>
      <c r="G1569" s="1">
        <v>45621</v>
      </c>
      <c r="H1569" t="s">
        <v>11</v>
      </c>
      <c r="I1569">
        <v>2024</v>
      </c>
      <c r="J1569">
        <v>11</v>
      </c>
    </row>
    <row r="1570" spans="1:10" x14ac:dyDescent="0.3">
      <c r="A1570">
        <v>744</v>
      </c>
      <c r="B1570">
        <v>28</v>
      </c>
      <c r="C1570">
        <v>2</v>
      </c>
      <c r="D1570">
        <v>42</v>
      </c>
      <c r="E1570">
        <v>84</v>
      </c>
      <c r="F1570">
        <v>227</v>
      </c>
      <c r="G1570" s="1">
        <v>45520</v>
      </c>
      <c r="H1570" t="s">
        <v>11</v>
      </c>
      <c r="I1570">
        <v>2024</v>
      </c>
      <c r="J1570">
        <v>8</v>
      </c>
    </row>
    <row r="1571" spans="1:10" x14ac:dyDescent="0.3">
      <c r="A1571">
        <v>77</v>
      </c>
      <c r="B1571">
        <v>26</v>
      </c>
      <c r="C1571">
        <v>3</v>
      </c>
      <c r="D1571">
        <v>56</v>
      </c>
      <c r="E1571">
        <v>168</v>
      </c>
      <c r="F1571">
        <v>129</v>
      </c>
      <c r="G1571" s="1">
        <v>45547</v>
      </c>
      <c r="H1571" t="s">
        <v>11</v>
      </c>
      <c r="I1571">
        <v>2024</v>
      </c>
      <c r="J1571">
        <v>9</v>
      </c>
    </row>
    <row r="1572" spans="1:10" x14ac:dyDescent="0.3">
      <c r="A1572">
        <v>264</v>
      </c>
      <c r="B1572">
        <v>30</v>
      </c>
      <c r="C1572">
        <v>3</v>
      </c>
      <c r="D1572">
        <v>116</v>
      </c>
      <c r="E1572">
        <v>348</v>
      </c>
      <c r="F1572">
        <v>286</v>
      </c>
      <c r="G1572" s="1">
        <v>45295</v>
      </c>
      <c r="H1572" t="s">
        <v>11</v>
      </c>
      <c r="I1572">
        <v>2024</v>
      </c>
      <c r="J1572">
        <v>1</v>
      </c>
    </row>
    <row r="1573" spans="1:10" x14ac:dyDescent="0.3">
      <c r="A1573">
        <v>264</v>
      </c>
      <c r="B1573">
        <v>22</v>
      </c>
      <c r="C1573">
        <v>1</v>
      </c>
      <c r="D1573">
        <v>12</v>
      </c>
      <c r="E1573">
        <v>12</v>
      </c>
      <c r="F1573">
        <v>286</v>
      </c>
      <c r="G1573" s="1">
        <v>45295</v>
      </c>
      <c r="H1573" t="s">
        <v>11</v>
      </c>
      <c r="I1573">
        <v>2024</v>
      </c>
      <c r="J1573">
        <v>1</v>
      </c>
    </row>
    <row r="1574" spans="1:10" x14ac:dyDescent="0.3">
      <c r="A1574">
        <v>276</v>
      </c>
      <c r="B1574">
        <v>1</v>
      </c>
      <c r="C1574">
        <v>5</v>
      </c>
      <c r="D1574">
        <v>59</v>
      </c>
      <c r="E1574">
        <v>295</v>
      </c>
      <c r="F1574">
        <v>46</v>
      </c>
      <c r="G1574" s="1">
        <v>45560</v>
      </c>
      <c r="H1574" t="s">
        <v>11</v>
      </c>
      <c r="I1574">
        <v>2024</v>
      </c>
      <c r="J1574">
        <v>9</v>
      </c>
    </row>
    <row r="1575" spans="1:10" x14ac:dyDescent="0.3">
      <c r="A1575">
        <v>276</v>
      </c>
      <c r="B1575">
        <v>1</v>
      </c>
      <c r="C1575">
        <v>3</v>
      </c>
      <c r="D1575">
        <v>92</v>
      </c>
      <c r="E1575">
        <v>276</v>
      </c>
      <c r="F1575">
        <v>46</v>
      </c>
      <c r="G1575" s="1">
        <v>45560</v>
      </c>
      <c r="H1575" t="s">
        <v>11</v>
      </c>
      <c r="I1575">
        <v>2024</v>
      </c>
      <c r="J1575">
        <v>9</v>
      </c>
    </row>
    <row r="1576" spans="1:10" x14ac:dyDescent="0.3">
      <c r="A1576">
        <v>276</v>
      </c>
      <c r="B1576">
        <v>20</v>
      </c>
      <c r="C1576">
        <v>5</v>
      </c>
      <c r="D1576">
        <v>97</v>
      </c>
      <c r="E1576">
        <v>485</v>
      </c>
      <c r="F1576">
        <v>46</v>
      </c>
      <c r="G1576" s="1">
        <v>45560</v>
      </c>
      <c r="H1576" t="s">
        <v>11</v>
      </c>
      <c r="I1576">
        <v>2024</v>
      </c>
      <c r="J1576">
        <v>9</v>
      </c>
    </row>
    <row r="1577" spans="1:10" x14ac:dyDescent="0.3">
      <c r="A1577">
        <v>276</v>
      </c>
      <c r="B1577">
        <v>35</v>
      </c>
      <c r="C1577">
        <v>1</v>
      </c>
      <c r="D1577">
        <v>81</v>
      </c>
      <c r="E1577">
        <v>81</v>
      </c>
      <c r="F1577">
        <v>46</v>
      </c>
      <c r="G1577" s="1">
        <v>45560</v>
      </c>
      <c r="H1577" t="s">
        <v>11</v>
      </c>
      <c r="I1577">
        <v>2024</v>
      </c>
      <c r="J1577">
        <v>9</v>
      </c>
    </row>
    <row r="1578" spans="1:10" x14ac:dyDescent="0.3">
      <c r="A1578">
        <v>957</v>
      </c>
      <c r="B1578">
        <v>4</v>
      </c>
      <c r="C1578">
        <v>4</v>
      </c>
      <c r="D1578">
        <v>21</v>
      </c>
      <c r="E1578">
        <v>84</v>
      </c>
      <c r="F1578">
        <v>137</v>
      </c>
      <c r="G1578" s="1">
        <v>45554</v>
      </c>
      <c r="H1578" t="s">
        <v>11</v>
      </c>
      <c r="I1578">
        <v>2024</v>
      </c>
      <c r="J1578">
        <v>9</v>
      </c>
    </row>
    <row r="1579" spans="1:10" x14ac:dyDescent="0.3">
      <c r="A1579">
        <v>365</v>
      </c>
      <c r="B1579">
        <v>1</v>
      </c>
      <c r="C1579">
        <v>1</v>
      </c>
      <c r="D1579">
        <v>45</v>
      </c>
      <c r="E1579">
        <v>45</v>
      </c>
      <c r="F1579">
        <v>290</v>
      </c>
      <c r="G1579" s="1">
        <v>45558</v>
      </c>
      <c r="H1579" t="s">
        <v>11</v>
      </c>
      <c r="I1579">
        <v>2024</v>
      </c>
      <c r="J1579">
        <v>9</v>
      </c>
    </row>
    <row r="1580" spans="1:10" x14ac:dyDescent="0.3">
      <c r="A1580">
        <v>655</v>
      </c>
      <c r="B1580">
        <v>7</v>
      </c>
      <c r="C1580">
        <v>5</v>
      </c>
      <c r="D1580">
        <v>64</v>
      </c>
      <c r="E1580">
        <v>320</v>
      </c>
      <c r="F1580">
        <v>294</v>
      </c>
      <c r="G1580" s="1">
        <v>45438</v>
      </c>
      <c r="H1580" t="s">
        <v>11</v>
      </c>
      <c r="I1580">
        <v>2024</v>
      </c>
      <c r="J1580">
        <v>5</v>
      </c>
    </row>
    <row r="1581" spans="1:10" x14ac:dyDescent="0.3">
      <c r="A1581">
        <v>655</v>
      </c>
      <c r="B1581">
        <v>9</v>
      </c>
      <c r="C1581">
        <v>2</v>
      </c>
      <c r="D1581">
        <v>42</v>
      </c>
      <c r="E1581">
        <v>84</v>
      </c>
      <c r="F1581">
        <v>294</v>
      </c>
      <c r="G1581" s="1">
        <v>45438</v>
      </c>
      <c r="H1581" t="s">
        <v>11</v>
      </c>
      <c r="I1581">
        <v>2024</v>
      </c>
      <c r="J1581">
        <v>5</v>
      </c>
    </row>
    <row r="1582" spans="1:10" x14ac:dyDescent="0.3">
      <c r="A1582">
        <v>253</v>
      </c>
      <c r="B1582">
        <v>23</v>
      </c>
      <c r="C1582">
        <v>2</v>
      </c>
      <c r="D1582">
        <v>26</v>
      </c>
      <c r="E1582">
        <v>52</v>
      </c>
      <c r="F1582">
        <v>22</v>
      </c>
      <c r="G1582" s="1">
        <v>45399</v>
      </c>
      <c r="H1582" t="s">
        <v>11</v>
      </c>
      <c r="I1582">
        <v>2024</v>
      </c>
      <c r="J1582">
        <v>4</v>
      </c>
    </row>
    <row r="1583" spans="1:10" x14ac:dyDescent="0.3">
      <c r="A1583">
        <v>926</v>
      </c>
      <c r="B1583">
        <v>35</v>
      </c>
      <c r="C1583">
        <v>4</v>
      </c>
      <c r="D1583">
        <v>30</v>
      </c>
      <c r="E1583">
        <v>120</v>
      </c>
      <c r="F1583">
        <v>254</v>
      </c>
      <c r="G1583" s="1">
        <v>45594</v>
      </c>
      <c r="H1583" t="s">
        <v>11</v>
      </c>
      <c r="I1583">
        <v>2024</v>
      </c>
      <c r="J1583">
        <v>10</v>
      </c>
    </row>
    <row r="1584" spans="1:10" x14ac:dyDescent="0.3">
      <c r="A1584">
        <v>926</v>
      </c>
      <c r="B1584">
        <v>7</v>
      </c>
      <c r="C1584">
        <v>5</v>
      </c>
      <c r="D1584">
        <v>101</v>
      </c>
      <c r="E1584">
        <v>505</v>
      </c>
      <c r="F1584">
        <v>254</v>
      </c>
      <c r="G1584" s="1">
        <v>45594</v>
      </c>
      <c r="H1584" t="s">
        <v>11</v>
      </c>
      <c r="I1584">
        <v>2024</v>
      </c>
      <c r="J1584">
        <v>10</v>
      </c>
    </row>
    <row r="1585" spans="1:10" x14ac:dyDescent="0.3">
      <c r="A1585">
        <v>415</v>
      </c>
      <c r="B1585">
        <v>35</v>
      </c>
      <c r="C1585">
        <v>4</v>
      </c>
      <c r="D1585">
        <v>41</v>
      </c>
      <c r="E1585">
        <v>164</v>
      </c>
      <c r="F1585">
        <v>178</v>
      </c>
      <c r="G1585" s="1">
        <v>45350</v>
      </c>
      <c r="H1585" t="s">
        <v>11</v>
      </c>
      <c r="I1585">
        <v>2024</v>
      </c>
      <c r="J1585">
        <v>2</v>
      </c>
    </row>
    <row r="1586" spans="1:10" x14ac:dyDescent="0.3">
      <c r="A1586">
        <v>695</v>
      </c>
      <c r="B1586">
        <v>18</v>
      </c>
      <c r="C1586">
        <v>1</v>
      </c>
      <c r="D1586">
        <v>62</v>
      </c>
      <c r="E1586">
        <v>62</v>
      </c>
      <c r="F1586">
        <v>277</v>
      </c>
      <c r="G1586" s="1">
        <v>45468</v>
      </c>
      <c r="H1586" t="s">
        <v>11</v>
      </c>
      <c r="I1586">
        <v>2024</v>
      </c>
      <c r="J1586">
        <v>6</v>
      </c>
    </row>
    <row r="1587" spans="1:10" x14ac:dyDescent="0.3">
      <c r="A1587">
        <v>695</v>
      </c>
      <c r="B1587">
        <v>7</v>
      </c>
      <c r="C1587">
        <v>5</v>
      </c>
      <c r="D1587">
        <v>13</v>
      </c>
      <c r="E1587">
        <v>65</v>
      </c>
      <c r="F1587">
        <v>277</v>
      </c>
      <c r="G1587" s="1">
        <v>45468</v>
      </c>
      <c r="H1587" t="s">
        <v>11</v>
      </c>
      <c r="I1587">
        <v>2024</v>
      </c>
      <c r="J1587">
        <v>6</v>
      </c>
    </row>
    <row r="1588" spans="1:10" x14ac:dyDescent="0.3">
      <c r="A1588">
        <v>383</v>
      </c>
      <c r="B1588">
        <v>34</v>
      </c>
      <c r="C1588">
        <v>3</v>
      </c>
      <c r="D1588">
        <v>67</v>
      </c>
      <c r="E1588">
        <v>201</v>
      </c>
      <c r="F1588">
        <v>285</v>
      </c>
      <c r="G1588" s="1">
        <v>45542</v>
      </c>
      <c r="H1588" t="s">
        <v>11</v>
      </c>
      <c r="I1588">
        <v>2024</v>
      </c>
      <c r="J1588">
        <v>9</v>
      </c>
    </row>
    <row r="1589" spans="1:10" x14ac:dyDescent="0.3">
      <c r="A1589">
        <v>383</v>
      </c>
      <c r="B1589">
        <v>22</v>
      </c>
      <c r="C1589">
        <v>1</v>
      </c>
      <c r="D1589">
        <v>46</v>
      </c>
      <c r="E1589">
        <v>46</v>
      </c>
      <c r="F1589">
        <v>285</v>
      </c>
      <c r="G1589" s="1">
        <v>45542</v>
      </c>
      <c r="H1589" t="s">
        <v>11</v>
      </c>
      <c r="I1589">
        <v>2024</v>
      </c>
      <c r="J1589">
        <v>9</v>
      </c>
    </row>
    <row r="1590" spans="1:10" x14ac:dyDescent="0.3">
      <c r="A1590">
        <v>683</v>
      </c>
      <c r="B1590">
        <v>40</v>
      </c>
      <c r="C1590">
        <v>2</v>
      </c>
      <c r="D1590">
        <v>68</v>
      </c>
      <c r="E1590">
        <v>136</v>
      </c>
      <c r="F1590">
        <v>95</v>
      </c>
      <c r="G1590" s="1">
        <v>45596</v>
      </c>
      <c r="H1590" t="s">
        <v>11</v>
      </c>
      <c r="I1590">
        <v>2024</v>
      </c>
      <c r="J1590">
        <v>10</v>
      </c>
    </row>
    <row r="1591" spans="1:10" x14ac:dyDescent="0.3">
      <c r="A1591">
        <v>562</v>
      </c>
      <c r="B1591">
        <v>17</v>
      </c>
      <c r="C1591">
        <v>4</v>
      </c>
      <c r="D1591">
        <v>114</v>
      </c>
      <c r="E1591">
        <v>456</v>
      </c>
      <c r="F1591">
        <v>54</v>
      </c>
      <c r="G1591" s="1">
        <v>45457</v>
      </c>
      <c r="H1591" t="s">
        <v>11</v>
      </c>
      <c r="I1591">
        <v>2024</v>
      </c>
      <c r="J1591">
        <v>6</v>
      </c>
    </row>
    <row r="1592" spans="1:10" x14ac:dyDescent="0.3">
      <c r="A1592">
        <v>722</v>
      </c>
      <c r="B1592">
        <v>2</v>
      </c>
      <c r="C1592">
        <v>2</v>
      </c>
      <c r="D1592">
        <v>76</v>
      </c>
      <c r="E1592">
        <v>152</v>
      </c>
      <c r="F1592">
        <v>8</v>
      </c>
      <c r="G1592" s="1">
        <v>45378</v>
      </c>
      <c r="H1592" t="s">
        <v>11</v>
      </c>
      <c r="I1592">
        <v>2024</v>
      </c>
      <c r="J1592">
        <v>3</v>
      </c>
    </row>
    <row r="1593" spans="1:10" x14ac:dyDescent="0.3">
      <c r="A1593">
        <v>64</v>
      </c>
      <c r="B1593">
        <v>9</v>
      </c>
      <c r="C1593">
        <v>4</v>
      </c>
      <c r="D1593">
        <v>60</v>
      </c>
      <c r="E1593">
        <v>240</v>
      </c>
      <c r="F1593">
        <v>213</v>
      </c>
      <c r="G1593" s="1">
        <v>45576</v>
      </c>
      <c r="H1593" t="s">
        <v>11</v>
      </c>
      <c r="I1593">
        <v>2024</v>
      </c>
      <c r="J1593">
        <v>10</v>
      </c>
    </row>
    <row r="1594" spans="1:10" x14ac:dyDescent="0.3">
      <c r="A1594">
        <v>64</v>
      </c>
      <c r="B1594">
        <v>48</v>
      </c>
      <c r="C1594">
        <v>4</v>
      </c>
      <c r="D1594">
        <v>11</v>
      </c>
      <c r="E1594">
        <v>44</v>
      </c>
      <c r="F1594">
        <v>213</v>
      </c>
      <c r="G1594" s="1">
        <v>45576</v>
      </c>
      <c r="H1594" t="s">
        <v>11</v>
      </c>
      <c r="I1594">
        <v>2024</v>
      </c>
      <c r="J1594">
        <v>10</v>
      </c>
    </row>
    <row r="1595" spans="1:10" x14ac:dyDescent="0.3">
      <c r="A1595">
        <v>839</v>
      </c>
      <c r="B1595">
        <v>5</v>
      </c>
      <c r="C1595">
        <v>5</v>
      </c>
      <c r="D1595">
        <v>111</v>
      </c>
      <c r="E1595">
        <v>555</v>
      </c>
      <c r="F1595">
        <v>265</v>
      </c>
      <c r="G1595" s="1">
        <v>45317</v>
      </c>
      <c r="H1595" t="s">
        <v>11</v>
      </c>
      <c r="I1595">
        <v>2024</v>
      </c>
      <c r="J1595">
        <v>1</v>
      </c>
    </row>
    <row r="1596" spans="1:10" x14ac:dyDescent="0.3">
      <c r="A1596">
        <v>430</v>
      </c>
      <c r="B1596">
        <v>46</v>
      </c>
      <c r="C1596">
        <v>3</v>
      </c>
      <c r="D1596">
        <v>106</v>
      </c>
      <c r="E1596">
        <v>318</v>
      </c>
      <c r="F1596">
        <v>35</v>
      </c>
      <c r="G1596" s="1">
        <v>45526</v>
      </c>
      <c r="H1596" t="s">
        <v>11</v>
      </c>
      <c r="I1596">
        <v>2024</v>
      </c>
      <c r="J1596">
        <v>8</v>
      </c>
    </row>
    <row r="1597" spans="1:10" x14ac:dyDescent="0.3">
      <c r="A1597">
        <v>654</v>
      </c>
      <c r="B1597">
        <v>33</v>
      </c>
      <c r="C1597">
        <v>3</v>
      </c>
      <c r="D1597">
        <v>86</v>
      </c>
      <c r="E1597">
        <v>258</v>
      </c>
      <c r="F1597">
        <v>226</v>
      </c>
      <c r="G1597" s="1">
        <v>45413</v>
      </c>
      <c r="H1597" t="s">
        <v>11</v>
      </c>
      <c r="I1597">
        <v>2024</v>
      </c>
      <c r="J1597">
        <v>5</v>
      </c>
    </row>
    <row r="1598" spans="1:10" x14ac:dyDescent="0.3">
      <c r="A1598">
        <v>643</v>
      </c>
      <c r="B1598">
        <v>41</v>
      </c>
      <c r="C1598">
        <v>5</v>
      </c>
      <c r="D1598">
        <v>118</v>
      </c>
      <c r="E1598">
        <v>590</v>
      </c>
      <c r="F1598">
        <v>222</v>
      </c>
      <c r="G1598" s="1">
        <v>45418</v>
      </c>
      <c r="H1598" t="s">
        <v>11</v>
      </c>
      <c r="I1598">
        <v>2024</v>
      </c>
      <c r="J1598">
        <v>5</v>
      </c>
    </row>
    <row r="1599" spans="1:10" x14ac:dyDescent="0.3">
      <c r="A1599">
        <v>184</v>
      </c>
      <c r="B1599">
        <v>6</v>
      </c>
      <c r="C1599">
        <v>3</v>
      </c>
      <c r="D1599">
        <v>22</v>
      </c>
      <c r="E1599">
        <v>66</v>
      </c>
      <c r="F1599">
        <v>203</v>
      </c>
      <c r="G1599" s="1">
        <v>45492</v>
      </c>
      <c r="H1599" t="s">
        <v>11</v>
      </c>
      <c r="I1599">
        <v>2024</v>
      </c>
      <c r="J1599">
        <v>7</v>
      </c>
    </row>
    <row r="1600" spans="1:10" x14ac:dyDescent="0.3">
      <c r="A1600">
        <v>184</v>
      </c>
      <c r="B1600">
        <v>3</v>
      </c>
      <c r="C1600">
        <v>2</v>
      </c>
      <c r="D1600">
        <v>18</v>
      </c>
      <c r="E1600">
        <v>36</v>
      </c>
      <c r="F1600">
        <v>203</v>
      </c>
      <c r="G1600" s="1">
        <v>45492</v>
      </c>
      <c r="H1600" t="s">
        <v>11</v>
      </c>
      <c r="I1600">
        <v>2024</v>
      </c>
      <c r="J1600">
        <v>7</v>
      </c>
    </row>
    <row r="1601" spans="1:10" x14ac:dyDescent="0.3">
      <c r="A1601">
        <v>94</v>
      </c>
      <c r="B1601">
        <v>34</v>
      </c>
      <c r="C1601">
        <v>3</v>
      </c>
      <c r="D1601">
        <v>107</v>
      </c>
      <c r="E1601">
        <v>321</v>
      </c>
      <c r="F1601">
        <v>216</v>
      </c>
      <c r="G1601" s="1">
        <v>45406</v>
      </c>
      <c r="H1601" t="s">
        <v>11</v>
      </c>
      <c r="I1601">
        <v>2024</v>
      </c>
      <c r="J1601">
        <v>4</v>
      </c>
    </row>
    <row r="1602" spans="1:10" x14ac:dyDescent="0.3">
      <c r="A1602">
        <v>805</v>
      </c>
      <c r="B1602">
        <v>24</v>
      </c>
      <c r="C1602">
        <v>1</v>
      </c>
      <c r="D1602">
        <v>70</v>
      </c>
      <c r="E1602">
        <v>70</v>
      </c>
      <c r="F1602">
        <v>62</v>
      </c>
      <c r="G1602" s="1">
        <v>45417</v>
      </c>
      <c r="H1602" t="s">
        <v>11</v>
      </c>
      <c r="I1602">
        <v>2024</v>
      </c>
      <c r="J1602">
        <v>5</v>
      </c>
    </row>
    <row r="1603" spans="1:10" x14ac:dyDescent="0.3">
      <c r="A1603">
        <v>805</v>
      </c>
      <c r="B1603">
        <v>1</v>
      </c>
      <c r="C1603">
        <v>1</v>
      </c>
      <c r="D1603">
        <v>71</v>
      </c>
      <c r="E1603">
        <v>71</v>
      </c>
      <c r="F1603">
        <v>62</v>
      </c>
      <c r="G1603" s="1">
        <v>45417</v>
      </c>
      <c r="H1603" t="s">
        <v>11</v>
      </c>
      <c r="I1603">
        <v>2024</v>
      </c>
      <c r="J1603">
        <v>5</v>
      </c>
    </row>
    <row r="1604" spans="1:10" x14ac:dyDescent="0.3">
      <c r="A1604">
        <v>805</v>
      </c>
      <c r="B1604">
        <v>16</v>
      </c>
      <c r="C1604">
        <v>5</v>
      </c>
      <c r="D1604">
        <v>115</v>
      </c>
      <c r="E1604">
        <v>575</v>
      </c>
      <c r="F1604">
        <v>62</v>
      </c>
      <c r="G1604" s="1">
        <v>45417</v>
      </c>
      <c r="H1604" t="s">
        <v>11</v>
      </c>
      <c r="I1604">
        <v>2024</v>
      </c>
      <c r="J1604">
        <v>5</v>
      </c>
    </row>
    <row r="1605" spans="1:10" x14ac:dyDescent="0.3">
      <c r="A1605">
        <v>538</v>
      </c>
      <c r="B1605">
        <v>37</v>
      </c>
      <c r="C1605">
        <v>2</v>
      </c>
      <c r="D1605">
        <v>118</v>
      </c>
      <c r="E1605">
        <v>236</v>
      </c>
      <c r="F1605">
        <v>190</v>
      </c>
      <c r="G1605" s="1">
        <v>45351</v>
      </c>
      <c r="H1605" t="s">
        <v>11</v>
      </c>
      <c r="I1605">
        <v>2024</v>
      </c>
      <c r="J1605">
        <v>2</v>
      </c>
    </row>
    <row r="1606" spans="1:10" x14ac:dyDescent="0.3">
      <c r="A1606">
        <v>587</v>
      </c>
      <c r="B1606">
        <v>43</v>
      </c>
      <c r="C1606">
        <v>5</v>
      </c>
      <c r="D1606">
        <v>70</v>
      </c>
      <c r="E1606">
        <v>350</v>
      </c>
      <c r="F1606">
        <v>35</v>
      </c>
      <c r="G1606" s="1">
        <v>45379</v>
      </c>
      <c r="H1606" t="s">
        <v>11</v>
      </c>
      <c r="I1606">
        <v>2024</v>
      </c>
      <c r="J1606">
        <v>3</v>
      </c>
    </row>
    <row r="1607" spans="1:10" x14ac:dyDescent="0.3">
      <c r="A1607">
        <v>986</v>
      </c>
      <c r="B1607">
        <v>3</v>
      </c>
      <c r="C1607">
        <v>1</v>
      </c>
      <c r="D1607">
        <v>78</v>
      </c>
      <c r="E1607">
        <v>78</v>
      </c>
      <c r="F1607">
        <v>84</v>
      </c>
      <c r="G1607" s="1">
        <v>45461</v>
      </c>
      <c r="H1607" t="s">
        <v>11</v>
      </c>
      <c r="I1607">
        <v>2024</v>
      </c>
      <c r="J1607">
        <v>6</v>
      </c>
    </row>
    <row r="1608" spans="1:10" x14ac:dyDescent="0.3">
      <c r="A1608">
        <v>747</v>
      </c>
      <c r="B1608">
        <v>46</v>
      </c>
      <c r="C1608">
        <v>1</v>
      </c>
      <c r="D1608">
        <v>47</v>
      </c>
      <c r="E1608">
        <v>47</v>
      </c>
      <c r="F1608">
        <v>119</v>
      </c>
      <c r="G1608" s="1">
        <v>45592</v>
      </c>
      <c r="H1608" t="s">
        <v>11</v>
      </c>
      <c r="I1608">
        <v>2024</v>
      </c>
      <c r="J1608">
        <v>10</v>
      </c>
    </row>
    <row r="1609" spans="1:10" x14ac:dyDescent="0.3">
      <c r="A1609">
        <v>931</v>
      </c>
      <c r="B1609">
        <v>27</v>
      </c>
      <c r="C1609">
        <v>4</v>
      </c>
      <c r="D1609">
        <v>99</v>
      </c>
      <c r="E1609">
        <v>396</v>
      </c>
      <c r="F1609">
        <v>218</v>
      </c>
      <c r="G1609" s="1">
        <v>45494</v>
      </c>
      <c r="H1609" t="s">
        <v>11</v>
      </c>
      <c r="I1609">
        <v>2024</v>
      </c>
      <c r="J1609">
        <v>7</v>
      </c>
    </row>
    <row r="1610" spans="1:10" x14ac:dyDescent="0.3">
      <c r="A1610">
        <v>607</v>
      </c>
      <c r="B1610">
        <v>30</v>
      </c>
      <c r="C1610">
        <v>1</v>
      </c>
      <c r="D1610">
        <v>18</v>
      </c>
      <c r="E1610">
        <v>18</v>
      </c>
      <c r="F1610">
        <v>217</v>
      </c>
      <c r="G1610" s="1">
        <v>45445</v>
      </c>
      <c r="H1610" t="s">
        <v>11</v>
      </c>
      <c r="I1610">
        <v>2024</v>
      </c>
      <c r="J1610">
        <v>6</v>
      </c>
    </row>
    <row r="1611" spans="1:10" x14ac:dyDescent="0.3">
      <c r="A1611">
        <v>885</v>
      </c>
      <c r="B1611">
        <v>29</v>
      </c>
      <c r="C1611">
        <v>1</v>
      </c>
      <c r="D1611">
        <v>115</v>
      </c>
      <c r="E1611">
        <v>115</v>
      </c>
      <c r="F1611">
        <v>179</v>
      </c>
      <c r="G1611" s="1">
        <v>45504</v>
      </c>
      <c r="H1611" t="s">
        <v>11</v>
      </c>
      <c r="I1611">
        <v>2024</v>
      </c>
      <c r="J1611">
        <v>7</v>
      </c>
    </row>
    <row r="1612" spans="1:10" x14ac:dyDescent="0.3">
      <c r="A1612">
        <v>743</v>
      </c>
      <c r="B1612">
        <v>41</v>
      </c>
      <c r="C1612">
        <v>1</v>
      </c>
      <c r="D1612">
        <v>12</v>
      </c>
      <c r="E1612">
        <v>12</v>
      </c>
      <c r="F1612">
        <v>294</v>
      </c>
      <c r="G1612" s="1">
        <v>45454</v>
      </c>
      <c r="H1612" t="s">
        <v>11</v>
      </c>
      <c r="I1612">
        <v>2024</v>
      </c>
      <c r="J1612">
        <v>6</v>
      </c>
    </row>
    <row r="1613" spans="1:10" x14ac:dyDescent="0.3">
      <c r="A1613">
        <v>268</v>
      </c>
      <c r="B1613">
        <v>1</v>
      </c>
      <c r="C1613">
        <v>4</v>
      </c>
      <c r="D1613">
        <v>33</v>
      </c>
      <c r="E1613">
        <v>132</v>
      </c>
      <c r="F1613">
        <v>4</v>
      </c>
      <c r="G1613" s="1">
        <v>45307</v>
      </c>
      <c r="H1613" t="s">
        <v>11</v>
      </c>
      <c r="I1613">
        <v>2024</v>
      </c>
      <c r="J1613">
        <v>1</v>
      </c>
    </row>
    <row r="1614" spans="1:10" x14ac:dyDescent="0.3">
      <c r="A1614">
        <v>350</v>
      </c>
      <c r="B1614">
        <v>17</v>
      </c>
      <c r="C1614">
        <v>4</v>
      </c>
      <c r="D1614">
        <v>30</v>
      </c>
      <c r="E1614">
        <v>120</v>
      </c>
      <c r="F1614">
        <v>147</v>
      </c>
      <c r="G1614" s="1">
        <v>45469</v>
      </c>
      <c r="H1614" t="s">
        <v>11</v>
      </c>
      <c r="I1614">
        <v>2024</v>
      </c>
      <c r="J1614">
        <v>6</v>
      </c>
    </row>
    <row r="1615" spans="1:10" x14ac:dyDescent="0.3">
      <c r="A1615">
        <v>358</v>
      </c>
      <c r="B1615">
        <v>1</v>
      </c>
      <c r="C1615">
        <v>2</v>
      </c>
      <c r="D1615">
        <v>110</v>
      </c>
      <c r="E1615">
        <v>220</v>
      </c>
      <c r="F1615">
        <v>279</v>
      </c>
      <c r="G1615" s="1">
        <v>45560</v>
      </c>
      <c r="H1615" t="s">
        <v>11</v>
      </c>
      <c r="I1615">
        <v>2024</v>
      </c>
      <c r="J1615">
        <v>9</v>
      </c>
    </row>
    <row r="1616" spans="1:10" x14ac:dyDescent="0.3">
      <c r="A1616">
        <v>808</v>
      </c>
      <c r="B1616">
        <v>40</v>
      </c>
      <c r="C1616">
        <v>4</v>
      </c>
      <c r="D1616">
        <v>115</v>
      </c>
      <c r="E1616">
        <v>460</v>
      </c>
      <c r="F1616">
        <v>26</v>
      </c>
      <c r="G1616" s="1">
        <v>45576</v>
      </c>
      <c r="H1616" t="s">
        <v>11</v>
      </c>
      <c r="I1616">
        <v>2024</v>
      </c>
      <c r="J1616">
        <v>10</v>
      </c>
    </row>
    <row r="1617" spans="1:10" x14ac:dyDescent="0.3">
      <c r="A1617">
        <v>110</v>
      </c>
      <c r="B1617">
        <v>17</v>
      </c>
      <c r="C1617">
        <v>1</v>
      </c>
      <c r="D1617">
        <v>93</v>
      </c>
      <c r="E1617">
        <v>93</v>
      </c>
      <c r="F1617">
        <v>42</v>
      </c>
      <c r="G1617" s="1">
        <v>45389</v>
      </c>
      <c r="H1617" t="s">
        <v>11</v>
      </c>
      <c r="I1617">
        <v>2024</v>
      </c>
      <c r="J1617">
        <v>4</v>
      </c>
    </row>
    <row r="1618" spans="1:10" x14ac:dyDescent="0.3">
      <c r="A1618">
        <v>60</v>
      </c>
      <c r="B1618">
        <v>15</v>
      </c>
      <c r="C1618">
        <v>5</v>
      </c>
      <c r="D1618">
        <v>65</v>
      </c>
      <c r="E1618">
        <v>325</v>
      </c>
      <c r="F1618">
        <v>215</v>
      </c>
      <c r="G1618" s="1">
        <v>45376</v>
      </c>
      <c r="H1618" t="s">
        <v>11</v>
      </c>
      <c r="I1618">
        <v>2024</v>
      </c>
      <c r="J1618">
        <v>3</v>
      </c>
    </row>
    <row r="1619" spans="1:10" x14ac:dyDescent="0.3">
      <c r="A1619">
        <v>637</v>
      </c>
      <c r="B1619">
        <v>14</v>
      </c>
      <c r="C1619">
        <v>3</v>
      </c>
      <c r="D1619">
        <v>46</v>
      </c>
      <c r="E1619">
        <v>138</v>
      </c>
      <c r="F1619">
        <v>162</v>
      </c>
      <c r="G1619" s="1">
        <v>45298</v>
      </c>
      <c r="H1619" t="s">
        <v>11</v>
      </c>
      <c r="I1619">
        <v>2024</v>
      </c>
      <c r="J1619">
        <v>1</v>
      </c>
    </row>
    <row r="1620" spans="1:10" x14ac:dyDescent="0.3">
      <c r="A1620">
        <v>36</v>
      </c>
      <c r="B1620">
        <v>32</v>
      </c>
      <c r="C1620">
        <v>3</v>
      </c>
      <c r="D1620">
        <v>36</v>
      </c>
      <c r="E1620">
        <v>108</v>
      </c>
      <c r="F1620">
        <v>167</v>
      </c>
      <c r="G1620" s="1">
        <v>45540</v>
      </c>
      <c r="H1620" t="s">
        <v>11</v>
      </c>
      <c r="I1620">
        <v>2024</v>
      </c>
      <c r="J1620">
        <v>9</v>
      </c>
    </row>
    <row r="1621" spans="1:10" x14ac:dyDescent="0.3">
      <c r="A1621">
        <v>486</v>
      </c>
      <c r="B1621">
        <v>7</v>
      </c>
      <c r="C1621">
        <v>1</v>
      </c>
      <c r="D1621">
        <v>28</v>
      </c>
      <c r="E1621">
        <v>28</v>
      </c>
      <c r="F1621">
        <v>109</v>
      </c>
      <c r="G1621" s="1">
        <v>45466</v>
      </c>
      <c r="H1621" t="s">
        <v>11</v>
      </c>
      <c r="I1621">
        <v>2024</v>
      </c>
      <c r="J1621">
        <v>6</v>
      </c>
    </row>
    <row r="1622" spans="1:10" x14ac:dyDescent="0.3">
      <c r="A1622">
        <v>424</v>
      </c>
      <c r="B1622">
        <v>44</v>
      </c>
      <c r="C1622">
        <v>2</v>
      </c>
      <c r="D1622">
        <v>65</v>
      </c>
      <c r="E1622">
        <v>130</v>
      </c>
      <c r="F1622">
        <v>44</v>
      </c>
      <c r="G1622" s="1">
        <v>45647</v>
      </c>
      <c r="H1622" t="s">
        <v>11</v>
      </c>
      <c r="I1622">
        <v>2024</v>
      </c>
      <c r="J1622">
        <v>12</v>
      </c>
    </row>
    <row r="1623" spans="1:10" x14ac:dyDescent="0.3">
      <c r="A1623">
        <v>238</v>
      </c>
      <c r="B1623">
        <v>26</v>
      </c>
      <c r="C1623">
        <v>4</v>
      </c>
      <c r="D1623">
        <v>42</v>
      </c>
      <c r="E1623">
        <v>168</v>
      </c>
      <c r="F1623">
        <v>99</v>
      </c>
      <c r="G1623" s="1">
        <v>45626</v>
      </c>
      <c r="H1623" t="s">
        <v>11</v>
      </c>
      <c r="I1623">
        <v>2024</v>
      </c>
      <c r="J1623">
        <v>11</v>
      </c>
    </row>
    <row r="1624" spans="1:10" x14ac:dyDescent="0.3">
      <c r="A1624">
        <v>145</v>
      </c>
      <c r="B1624">
        <v>33</v>
      </c>
      <c r="C1624">
        <v>2</v>
      </c>
      <c r="D1624">
        <v>101</v>
      </c>
      <c r="E1624">
        <v>202</v>
      </c>
      <c r="F1624">
        <v>121</v>
      </c>
      <c r="G1624" s="1">
        <v>45421</v>
      </c>
      <c r="H1624" t="s">
        <v>11</v>
      </c>
      <c r="I1624">
        <v>2024</v>
      </c>
      <c r="J1624">
        <v>5</v>
      </c>
    </row>
    <row r="1625" spans="1:10" x14ac:dyDescent="0.3">
      <c r="A1625">
        <v>777</v>
      </c>
      <c r="B1625">
        <v>29</v>
      </c>
      <c r="C1625">
        <v>3</v>
      </c>
      <c r="D1625">
        <v>36</v>
      </c>
      <c r="E1625">
        <v>108</v>
      </c>
      <c r="F1625">
        <v>180</v>
      </c>
      <c r="G1625" s="1">
        <v>45603</v>
      </c>
      <c r="H1625" t="s">
        <v>11</v>
      </c>
      <c r="I1625">
        <v>2024</v>
      </c>
      <c r="J1625">
        <v>11</v>
      </c>
    </row>
    <row r="1626" spans="1:10" x14ac:dyDescent="0.3">
      <c r="A1626">
        <v>845</v>
      </c>
      <c r="B1626">
        <v>33</v>
      </c>
      <c r="C1626">
        <v>1</v>
      </c>
      <c r="D1626">
        <v>64</v>
      </c>
      <c r="E1626">
        <v>64</v>
      </c>
      <c r="F1626">
        <v>137</v>
      </c>
      <c r="G1626" s="1">
        <v>45636</v>
      </c>
      <c r="H1626" t="s">
        <v>11</v>
      </c>
      <c r="I1626">
        <v>2024</v>
      </c>
      <c r="J1626">
        <v>12</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55B3-66D6-41AC-8FB8-BA8AC935D4DD}">
  <dimension ref="A3:F18"/>
  <sheetViews>
    <sheetView workbookViewId="0">
      <selection activeCell="N23" sqref="N23"/>
    </sheetView>
  </sheetViews>
  <sheetFormatPr defaultRowHeight="14.4" x14ac:dyDescent="0.3"/>
  <cols>
    <col min="1" max="1" width="14.109375" bestFit="1" customWidth="1"/>
    <col min="2" max="2" width="15.5546875" bestFit="1" customWidth="1"/>
    <col min="3" max="3" width="7" bestFit="1" customWidth="1"/>
    <col min="4" max="4" width="7.5546875" bestFit="1" customWidth="1"/>
    <col min="5" max="5" width="6" bestFit="1" customWidth="1"/>
    <col min="6" max="7" width="10.5546875" bestFit="1" customWidth="1"/>
  </cols>
  <sheetData>
    <row r="3" spans="1:6" x14ac:dyDescent="0.3">
      <c r="A3" s="3" t="s">
        <v>76</v>
      </c>
      <c r="B3" s="3" t="s">
        <v>77</v>
      </c>
    </row>
    <row r="4" spans="1:6" x14ac:dyDescent="0.3">
      <c r="A4" s="3" t="s">
        <v>79</v>
      </c>
      <c r="B4" t="s">
        <v>20</v>
      </c>
      <c r="C4" t="s">
        <v>24</v>
      </c>
      <c r="D4" t="s">
        <v>31</v>
      </c>
      <c r="E4" t="s">
        <v>22</v>
      </c>
      <c r="F4" t="s">
        <v>78</v>
      </c>
    </row>
    <row r="5" spans="1:6" x14ac:dyDescent="0.3">
      <c r="A5" s="4">
        <v>2024</v>
      </c>
    </row>
    <row r="6" spans="1:6" x14ac:dyDescent="0.3">
      <c r="A6" s="5">
        <v>1</v>
      </c>
      <c r="B6">
        <v>7540</v>
      </c>
      <c r="C6">
        <v>11069</v>
      </c>
      <c r="D6">
        <v>8345</v>
      </c>
      <c r="E6">
        <v>3994</v>
      </c>
      <c r="F6">
        <v>30948</v>
      </c>
    </row>
    <row r="7" spans="1:6" x14ac:dyDescent="0.3">
      <c r="A7" s="5">
        <v>2</v>
      </c>
      <c r="B7">
        <v>6040</v>
      </c>
      <c r="C7">
        <v>7828</v>
      </c>
      <c r="D7">
        <v>4398</v>
      </c>
      <c r="E7">
        <v>5033</v>
      </c>
      <c r="F7">
        <v>23299</v>
      </c>
    </row>
    <row r="8" spans="1:6" x14ac:dyDescent="0.3">
      <c r="A8" s="5">
        <v>3</v>
      </c>
      <c r="B8">
        <v>4282</v>
      </c>
      <c r="C8">
        <v>8641</v>
      </c>
      <c r="D8">
        <v>9900</v>
      </c>
      <c r="E8">
        <v>4191</v>
      </c>
      <c r="F8">
        <v>27014</v>
      </c>
    </row>
    <row r="9" spans="1:6" x14ac:dyDescent="0.3">
      <c r="A9" s="5">
        <v>4</v>
      </c>
      <c r="B9">
        <v>8395</v>
      </c>
      <c r="C9">
        <v>7840</v>
      </c>
      <c r="D9">
        <v>7724</v>
      </c>
      <c r="E9">
        <v>3880</v>
      </c>
      <c r="F9">
        <v>27839</v>
      </c>
    </row>
    <row r="10" spans="1:6" x14ac:dyDescent="0.3">
      <c r="A10" s="5">
        <v>5</v>
      </c>
      <c r="B10">
        <v>5566</v>
      </c>
      <c r="C10">
        <v>6477</v>
      </c>
      <c r="D10">
        <v>5938</v>
      </c>
      <c r="E10">
        <v>4980</v>
      </c>
      <c r="F10">
        <v>22961</v>
      </c>
    </row>
    <row r="11" spans="1:6" x14ac:dyDescent="0.3">
      <c r="A11" s="5">
        <v>6</v>
      </c>
      <c r="B11">
        <v>5424</v>
      </c>
      <c r="C11">
        <v>7259</v>
      </c>
      <c r="D11">
        <v>4957</v>
      </c>
      <c r="E11">
        <v>5179</v>
      </c>
      <c r="F11">
        <v>22819</v>
      </c>
    </row>
    <row r="12" spans="1:6" x14ac:dyDescent="0.3">
      <c r="A12" s="5">
        <v>7</v>
      </c>
      <c r="B12">
        <v>6590</v>
      </c>
      <c r="C12">
        <v>7608</v>
      </c>
      <c r="D12">
        <v>7642</v>
      </c>
      <c r="E12">
        <v>2279</v>
      </c>
      <c r="F12">
        <v>24119</v>
      </c>
    </row>
    <row r="13" spans="1:6" x14ac:dyDescent="0.3">
      <c r="A13" s="5">
        <v>8</v>
      </c>
      <c r="B13">
        <v>5894</v>
      </c>
      <c r="C13">
        <v>10519</v>
      </c>
      <c r="D13">
        <v>6662</v>
      </c>
      <c r="E13">
        <v>4296</v>
      </c>
      <c r="F13">
        <v>27371</v>
      </c>
    </row>
    <row r="14" spans="1:6" x14ac:dyDescent="0.3">
      <c r="A14" s="5">
        <v>9</v>
      </c>
      <c r="B14">
        <v>5506</v>
      </c>
      <c r="C14">
        <v>8196</v>
      </c>
      <c r="D14">
        <v>6330</v>
      </c>
      <c r="E14">
        <v>3300</v>
      </c>
      <c r="F14">
        <v>23332</v>
      </c>
    </row>
    <row r="15" spans="1:6" x14ac:dyDescent="0.3">
      <c r="A15" s="5">
        <v>10</v>
      </c>
      <c r="B15">
        <v>6485</v>
      </c>
      <c r="C15">
        <v>11439</v>
      </c>
      <c r="D15">
        <v>7349</v>
      </c>
      <c r="E15">
        <v>5587</v>
      </c>
      <c r="F15">
        <v>30860</v>
      </c>
    </row>
    <row r="16" spans="1:6" x14ac:dyDescent="0.3">
      <c r="A16" s="5">
        <v>11</v>
      </c>
      <c r="B16">
        <v>6815</v>
      </c>
      <c r="C16">
        <v>7117</v>
      </c>
      <c r="D16">
        <v>4617</v>
      </c>
      <c r="E16">
        <v>5207</v>
      </c>
      <c r="F16">
        <v>23756</v>
      </c>
    </row>
    <row r="17" spans="1:6" x14ac:dyDescent="0.3">
      <c r="A17" s="5">
        <v>12</v>
      </c>
      <c r="B17">
        <v>7474</v>
      </c>
      <c r="C17">
        <v>7644</v>
      </c>
      <c r="D17">
        <v>7223</v>
      </c>
      <c r="E17">
        <v>4452</v>
      </c>
      <c r="F17">
        <v>26793</v>
      </c>
    </row>
    <row r="18" spans="1:6" x14ac:dyDescent="0.3">
      <c r="A18" s="4" t="s">
        <v>78</v>
      </c>
      <c r="B18">
        <v>76011</v>
      </c>
      <c r="C18">
        <v>101637</v>
      </c>
      <c r="D18">
        <v>81085</v>
      </c>
      <c r="E18">
        <v>52378</v>
      </c>
      <c r="F18">
        <v>311111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36541-112C-448A-94EB-4F6E22B0D8E6}">
  <dimension ref="A3:B24"/>
  <sheetViews>
    <sheetView topLeftCell="B1" workbookViewId="0">
      <selection activeCell="A3" sqref="A3:B24"/>
    </sheetView>
  </sheetViews>
  <sheetFormatPr defaultRowHeight="14.4" x14ac:dyDescent="0.3"/>
  <cols>
    <col min="1" max="1" width="12.88671875" bestFit="1" customWidth="1"/>
    <col min="2" max="2" width="22.21875" bestFit="1" customWidth="1"/>
  </cols>
  <sheetData>
    <row r="3" spans="1:2" x14ac:dyDescent="0.3">
      <c r="A3" s="3" t="s">
        <v>79</v>
      </c>
      <c r="B3" t="s">
        <v>86</v>
      </c>
    </row>
    <row r="4" spans="1:2" x14ac:dyDescent="0.3">
      <c r="A4" s="4" t="s">
        <v>5</v>
      </c>
      <c r="B4">
        <v>194</v>
      </c>
    </row>
    <row r="5" spans="1:2" x14ac:dyDescent="0.3">
      <c r="A5" s="5" t="s">
        <v>12</v>
      </c>
      <c r="B5">
        <v>23</v>
      </c>
    </row>
    <row r="6" spans="1:2" x14ac:dyDescent="0.3">
      <c r="A6" s="5" t="s">
        <v>11</v>
      </c>
      <c r="B6">
        <v>156</v>
      </c>
    </row>
    <row r="7" spans="1:2" x14ac:dyDescent="0.3">
      <c r="A7" s="5" t="s">
        <v>13</v>
      </c>
      <c r="B7">
        <v>15</v>
      </c>
    </row>
    <row r="8" spans="1:2" x14ac:dyDescent="0.3">
      <c r="A8" s="4" t="s">
        <v>7</v>
      </c>
      <c r="B8">
        <v>168</v>
      </c>
    </row>
    <row r="9" spans="1:2" x14ac:dyDescent="0.3">
      <c r="A9" s="5" t="s">
        <v>12</v>
      </c>
      <c r="B9">
        <v>16</v>
      </c>
    </row>
    <row r="10" spans="1:2" x14ac:dyDescent="0.3">
      <c r="A10" s="5" t="s">
        <v>11</v>
      </c>
      <c r="B10">
        <v>133</v>
      </c>
    </row>
    <row r="11" spans="1:2" x14ac:dyDescent="0.3">
      <c r="A11" s="5" t="s">
        <v>13</v>
      </c>
      <c r="B11">
        <v>19</v>
      </c>
    </row>
    <row r="12" spans="1:2" x14ac:dyDescent="0.3">
      <c r="A12" s="4" t="s">
        <v>4</v>
      </c>
      <c r="B12">
        <v>223</v>
      </c>
    </row>
    <row r="13" spans="1:2" x14ac:dyDescent="0.3">
      <c r="A13" s="5" t="s">
        <v>12</v>
      </c>
      <c r="B13">
        <v>23</v>
      </c>
    </row>
    <row r="14" spans="1:2" x14ac:dyDescent="0.3">
      <c r="A14" s="5" t="s">
        <v>11</v>
      </c>
      <c r="B14">
        <v>177</v>
      </c>
    </row>
    <row r="15" spans="1:2" x14ac:dyDescent="0.3">
      <c r="A15" s="5" t="s">
        <v>13</v>
      </c>
      <c r="B15">
        <v>23</v>
      </c>
    </row>
    <row r="16" spans="1:2" x14ac:dyDescent="0.3">
      <c r="A16" s="4" t="s">
        <v>6</v>
      </c>
      <c r="B16">
        <v>190</v>
      </c>
    </row>
    <row r="17" spans="1:2" x14ac:dyDescent="0.3">
      <c r="A17" s="5" t="s">
        <v>12</v>
      </c>
      <c r="B17">
        <v>20</v>
      </c>
    </row>
    <row r="18" spans="1:2" x14ac:dyDescent="0.3">
      <c r="A18" s="5" t="s">
        <v>11</v>
      </c>
      <c r="B18">
        <v>154</v>
      </c>
    </row>
    <row r="19" spans="1:2" x14ac:dyDescent="0.3">
      <c r="A19" s="5" t="s">
        <v>13</v>
      </c>
      <c r="B19">
        <v>16</v>
      </c>
    </row>
    <row r="20" spans="1:2" x14ac:dyDescent="0.3">
      <c r="A20" s="4" t="s">
        <v>3</v>
      </c>
      <c r="B20">
        <v>225</v>
      </c>
    </row>
    <row r="21" spans="1:2" x14ac:dyDescent="0.3">
      <c r="A21" s="5" t="s">
        <v>12</v>
      </c>
      <c r="B21">
        <v>21</v>
      </c>
    </row>
    <row r="22" spans="1:2" x14ac:dyDescent="0.3">
      <c r="A22" s="5" t="s">
        <v>11</v>
      </c>
      <c r="B22">
        <v>185</v>
      </c>
    </row>
    <row r="23" spans="1:2" x14ac:dyDescent="0.3">
      <c r="A23" s="5" t="s">
        <v>13</v>
      </c>
      <c r="B23">
        <v>19</v>
      </c>
    </row>
    <row r="24" spans="1:2" x14ac:dyDescent="0.3">
      <c r="A24" s="4" t="s">
        <v>78</v>
      </c>
      <c r="B24">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784E-3C9C-4EC9-AD35-DB502232CC82}">
  <dimension ref="E2:F13"/>
  <sheetViews>
    <sheetView workbookViewId="0">
      <selection activeCell="F18" sqref="F18"/>
    </sheetView>
  </sheetViews>
  <sheetFormatPr defaultRowHeight="14.4" x14ac:dyDescent="0.3"/>
  <cols>
    <col min="1" max="1" width="12.44140625" bestFit="1" customWidth="1"/>
    <col min="2" max="2" width="14.109375" bestFit="1" customWidth="1"/>
    <col min="3" max="3" width="8.5546875" bestFit="1" customWidth="1"/>
    <col min="4" max="4" width="5" bestFit="1" customWidth="1"/>
    <col min="5" max="5" width="12.44140625" bestFit="1" customWidth="1"/>
    <col min="6" max="6" width="14.109375" bestFit="1" customWidth="1"/>
    <col min="7" max="7" width="10.5546875" bestFit="1" customWidth="1"/>
  </cols>
  <sheetData>
    <row r="2" spans="5:6" x14ac:dyDescent="0.3">
      <c r="E2" s="3" t="s">
        <v>79</v>
      </c>
      <c r="F2" t="s">
        <v>76</v>
      </c>
    </row>
    <row r="3" spans="5:6" x14ac:dyDescent="0.3">
      <c r="E3" s="4">
        <v>13</v>
      </c>
      <c r="F3" s="24">
        <v>5048</v>
      </c>
    </row>
    <row r="4" spans="5:6" x14ac:dyDescent="0.3">
      <c r="E4" s="4">
        <v>39</v>
      </c>
      <c r="F4" s="24">
        <v>4564</v>
      </c>
    </row>
    <row r="5" spans="5:6" x14ac:dyDescent="0.3">
      <c r="E5" s="4">
        <v>76</v>
      </c>
      <c r="F5" s="24">
        <v>3330</v>
      </c>
    </row>
    <row r="6" spans="5:6" x14ac:dyDescent="0.3">
      <c r="E6" s="4">
        <v>113</v>
      </c>
      <c r="F6" s="24">
        <v>2960</v>
      </c>
    </row>
    <row r="7" spans="5:6" x14ac:dyDescent="0.3">
      <c r="E7" s="4">
        <v>126</v>
      </c>
      <c r="F7" s="24">
        <v>2960</v>
      </c>
    </row>
    <row r="8" spans="5:6" x14ac:dyDescent="0.3">
      <c r="E8" s="4">
        <v>130</v>
      </c>
      <c r="F8" s="24">
        <v>2949</v>
      </c>
    </row>
    <row r="9" spans="5:6" x14ac:dyDescent="0.3">
      <c r="E9" s="4">
        <v>144</v>
      </c>
      <c r="F9" s="24">
        <v>3420</v>
      </c>
    </row>
    <row r="10" spans="5:6" x14ac:dyDescent="0.3">
      <c r="E10" s="4">
        <v>152</v>
      </c>
      <c r="F10" s="24">
        <v>4309</v>
      </c>
    </row>
    <row r="11" spans="5:6" x14ac:dyDescent="0.3">
      <c r="E11" s="4">
        <v>231</v>
      </c>
      <c r="F11" s="24">
        <v>2807</v>
      </c>
    </row>
    <row r="12" spans="5:6" x14ac:dyDescent="0.3">
      <c r="E12" s="4">
        <v>277</v>
      </c>
      <c r="F12" s="24">
        <v>2939</v>
      </c>
    </row>
    <row r="13" spans="5:6" x14ac:dyDescent="0.3">
      <c r="E13" s="4" t="s">
        <v>78</v>
      </c>
      <c r="F13" s="24">
        <v>35286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C1A8-F5A4-4A21-A035-72AB5783B1FE}">
  <dimension ref="A2:J10"/>
  <sheetViews>
    <sheetView workbookViewId="0">
      <selection activeCell="O13" sqref="O13"/>
    </sheetView>
  </sheetViews>
  <sheetFormatPr defaultRowHeight="14.4" x14ac:dyDescent="0.3"/>
  <cols>
    <col min="1" max="1" width="22.21875" bestFit="1" customWidth="1"/>
    <col min="2" max="2" width="15.5546875" bestFit="1" customWidth="1"/>
    <col min="3" max="3" width="10.33203125" bestFit="1" customWidth="1"/>
    <col min="4" max="4" width="8.5546875" bestFit="1" customWidth="1"/>
    <col min="5" max="5" width="10.5546875" bestFit="1" customWidth="1"/>
    <col min="6" max="6" width="10.5546875" customWidth="1"/>
    <col min="7" max="8" width="15" style="23" customWidth="1"/>
    <col min="9" max="9" width="14.44140625" style="23" customWidth="1"/>
    <col min="10" max="10" width="17.77734375" customWidth="1"/>
  </cols>
  <sheetData>
    <row r="2" spans="1:10" ht="15" thickBot="1" x14ac:dyDescent="0.35"/>
    <row r="3" spans="1:10" x14ac:dyDescent="0.3">
      <c r="A3" s="3" t="s">
        <v>86</v>
      </c>
      <c r="B3" s="3" t="s">
        <v>77</v>
      </c>
      <c r="G3" s="22"/>
      <c r="H3" s="29"/>
      <c r="I3" s="26"/>
    </row>
    <row r="4" spans="1:10" x14ac:dyDescent="0.3">
      <c r="A4" s="3" t="s">
        <v>79</v>
      </c>
      <c r="B4" t="s">
        <v>12</v>
      </c>
      <c r="C4" t="s">
        <v>11</v>
      </c>
      <c r="D4" t="s">
        <v>13</v>
      </c>
      <c r="E4" t="s">
        <v>78</v>
      </c>
      <c r="G4" s="22" t="s">
        <v>89</v>
      </c>
      <c r="H4" s="30" t="s">
        <v>99</v>
      </c>
      <c r="I4" s="27" t="s">
        <v>100</v>
      </c>
    </row>
    <row r="5" spans="1:10" x14ac:dyDescent="0.3">
      <c r="A5" s="4" t="s">
        <v>5</v>
      </c>
      <c r="B5" s="24">
        <v>23</v>
      </c>
      <c r="C5" s="24">
        <v>156</v>
      </c>
      <c r="D5" s="24">
        <v>15</v>
      </c>
      <c r="E5" s="24">
        <v>194</v>
      </c>
      <c r="F5" s="24"/>
      <c r="G5" s="22" t="s">
        <v>5</v>
      </c>
      <c r="H5" s="30">
        <f>GETPIVOTDATA("[Measures].[Distinct Count of order_id 2]",$A$3,"[orders].[status]","[orders].[status].&amp;[Cancelled]","[customers].[country]","[customers].[country].&amp;[France]")/GETPIVOTDATA("[Measures].[Distinct Count of order_id 2]",$A$3,"[customers].[country]","[customers].[country].&amp;[France]")</f>
        <v>0.11855670103092783</v>
      </c>
      <c r="I5" s="27">
        <f>GETPIVOTDATA("[Measures].[Distinct Count of order_id 2]",$A$3,"[orders].[status]","[orders].[status].&amp;[Returned]","[customers].[country]","[customers].[country].&amp;[France]")/GETPIVOTDATA("[Measures].[Distinct Count of order_id 2]",$A$3,"[customers].[country]","[customers].[country].&amp;[France]")</f>
        <v>7.7319587628865982E-2</v>
      </c>
      <c r="J5" s="25"/>
    </row>
    <row r="6" spans="1:10" x14ac:dyDescent="0.3">
      <c r="A6" s="4" t="s">
        <v>7</v>
      </c>
      <c r="B6" s="24">
        <v>16</v>
      </c>
      <c r="C6" s="24">
        <v>133</v>
      </c>
      <c r="D6" s="24">
        <v>19</v>
      </c>
      <c r="E6" s="24">
        <v>168</v>
      </c>
      <c r="F6" s="24"/>
      <c r="G6" s="22" t="s">
        <v>7</v>
      </c>
      <c r="H6" s="30">
        <f>GETPIVOTDATA("[Measures].[Distinct Count of order_id 2]",$A$3,"[orders].[status]","[orders].[status].&amp;[Cancelled]","[customers].[country]","[customers].[country].&amp;[Germany]")/GETPIVOTDATA("[Measures].[Distinct Count of order_id 2]",$A$3,"[customers].[country]","[customers].[country].&amp;[Germany]")</f>
        <v>9.5238095238095233E-2</v>
      </c>
      <c r="I6" s="27">
        <f>GETPIVOTDATA("[Measures].[Distinct Count of order_id 2]",$A$3,"[orders].[status]","[orders].[status].&amp;[Returned]","[customers].[country]","[customers].[country].&amp;[Germany]")/GETPIVOTDATA("[Measures].[Distinct Count of order_id 2]",$A$3,"[customers].[country]","[customers].[country].&amp;[Germany]")</f>
        <v>0.1130952380952381</v>
      </c>
    </row>
    <row r="7" spans="1:10" x14ac:dyDescent="0.3">
      <c r="A7" s="4" t="s">
        <v>4</v>
      </c>
      <c r="B7" s="24">
        <v>23</v>
      </c>
      <c r="C7" s="24">
        <v>177</v>
      </c>
      <c r="D7" s="24">
        <v>23</v>
      </c>
      <c r="E7" s="24">
        <v>223</v>
      </c>
      <c r="F7" s="24"/>
      <c r="G7" s="22" t="s">
        <v>4</v>
      </c>
      <c r="H7" s="30">
        <f>GETPIVOTDATA("[Measures].[Distinct Count of order_id 2]",$A$3,"[orders].[status]","[orders].[status].&amp;[Cancelled]","[customers].[country]","[customers].[country].&amp;[Italy]")/GETPIVOTDATA("[Measures].[Distinct Count of order_id 2]",$A$3,"[customers].[country]","[customers].[country].&amp;[Italy]")</f>
        <v>0.1031390134529148</v>
      </c>
      <c r="I7" s="27">
        <f>GETPIVOTDATA("[Measures].[Distinct Count of order_id 2]",$A$3,"[orders].[status]","[orders].[status].&amp;[Returned]","[customers].[country]","[customers].[country].&amp;[Italy]")/GETPIVOTDATA("[Measures].[Distinct Count of order_id 2]",$A$3,"[customers].[country]","[customers].[country].&amp;[Italy]")</f>
        <v>0.1031390134529148</v>
      </c>
    </row>
    <row r="8" spans="1:10" x14ac:dyDescent="0.3">
      <c r="A8" s="4" t="s">
        <v>6</v>
      </c>
      <c r="B8" s="24">
        <v>20</v>
      </c>
      <c r="C8" s="24">
        <v>154</v>
      </c>
      <c r="D8" s="24">
        <v>16</v>
      </c>
      <c r="E8" s="24">
        <v>190</v>
      </c>
      <c r="F8" s="24"/>
      <c r="G8" s="22" t="s">
        <v>6</v>
      </c>
      <c r="H8" s="30">
        <f>GETPIVOTDATA("[Measures].[Distinct Count of order_id 2]",$A$3,"[orders].[status]","[orders].[status].&amp;[Cancelled]","[customers].[country]","[customers].[country].&amp;[Morocco]")/GETPIVOTDATA("[Measures].[Distinct Count of order_id 2]",$A$3,"[customers].[country]","[customers].[country].&amp;[Morocco]")</f>
        <v>0.10526315789473684</v>
      </c>
      <c r="I8" s="27">
        <f>GETPIVOTDATA("[Measures].[Distinct Count of order_id 2]",$A$3,"[orders].[status]","[orders].[status].&amp;[Returned]","[customers].[country]","[customers].[country].&amp;[Morocco]")/GETPIVOTDATA("[Measures].[Distinct Count of order_id 2]",$A$3,"[customers].[country]","[customers].[country].&amp;[Morocco]")</f>
        <v>8.4210526315789472E-2</v>
      </c>
    </row>
    <row r="9" spans="1:10" x14ac:dyDescent="0.3">
      <c r="A9" s="4" t="s">
        <v>3</v>
      </c>
      <c r="B9" s="24">
        <v>21</v>
      </c>
      <c r="C9" s="24">
        <v>185</v>
      </c>
      <c r="D9" s="24">
        <v>19</v>
      </c>
      <c r="E9" s="24">
        <v>225</v>
      </c>
      <c r="F9" s="24"/>
      <c r="G9" s="22" t="s">
        <v>3</v>
      </c>
      <c r="H9" s="30">
        <f>GETPIVOTDATA("[Measures].[Distinct Count of order_id 2]",$A$3,"[orders].[status]","[orders].[status].&amp;[Cancelled]","[customers].[country]","[customers].[country].&amp;[Spain]")/GETPIVOTDATA("[Measures].[Distinct Count of order_id 2]",$A$3,"[customers].[country]","[customers].[country].&amp;[Spain]")</f>
        <v>9.3333333333333338E-2</v>
      </c>
      <c r="I9" s="27">
        <f>GETPIVOTDATA("[Measures].[Distinct Count of order_id 2]",$A$3,"[orders].[status]","[orders].[status].&amp;[Returned]","[customers].[country]","[customers].[country].&amp;[Spain]")/GETPIVOTDATA("[Measures].[Distinct Count of order_id 2]",$A$3,"[customers].[country]","[customers].[country].&amp;[Spain]")</f>
        <v>8.4444444444444447E-2</v>
      </c>
    </row>
    <row r="10" spans="1:10" ht="15" thickBot="1" x14ac:dyDescent="0.35">
      <c r="A10" s="4" t="s">
        <v>78</v>
      </c>
      <c r="B10" s="24">
        <v>103</v>
      </c>
      <c r="C10" s="24">
        <v>805</v>
      </c>
      <c r="D10" s="24">
        <v>92</v>
      </c>
      <c r="E10" s="24">
        <v>1000</v>
      </c>
      <c r="F10" s="24"/>
      <c r="G10" s="22" t="s">
        <v>101</v>
      </c>
      <c r="H10" s="31">
        <f>GETPIVOTDATA("[Measures].[Distinct Count of order_id 2]",$A$3,"[orders].[status]","[orders].[status].&amp;[Cancelled]")/GETPIVOTDATA("[Measures].[Distinct Count of order_id 2]",$A$3)</f>
        <v>0.10299999999999999</v>
      </c>
      <c r="I10" s="28">
        <f>GETPIVOTDATA("[Measures].[Distinct Count of order_id 2]",$A$3,"[orders].[status]","[orders].[status].&amp;[Returned]")/GETPIVOTDATA("[Measures].[Distinct Count of order_id 2]",$A$3)</f>
        <v>9.1999999999999998E-2</v>
      </c>
    </row>
  </sheetData>
  <conditionalFormatting sqref="H5:I10">
    <cfRule type="cellIs" dxfId="0" priority="2" operator="greaterThan">
      <formula>0.1</formula>
    </cfRule>
    <cfRule type="cellIs" dxfId="1" priority="1" operator="lessThan">
      <formula>0.1</formula>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8138C-1866-4E81-820E-A2D2FB8903FF}">
  <dimension ref="C1:O11"/>
  <sheetViews>
    <sheetView tabSelected="1" workbookViewId="0">
      <selection activeCell="L14" sqref="L14"/>
    </sheetView>
  </sheetViews>
  <sheetFormatPr defaultRowHeight="14.4" x14ac:dyDescent="0.3"/>
  <cols>
    <col min="3" max="3" width="21.77734375" customWidth="1"/>
    <col min="4" max="4" width="35.44140625" customWidth="1"/>
  </cols>
  <sheetData>
    <row r="1" spans="3:15" ht="15" thickBot="1" x14ac:dyDescent="0.35"/>
    <row r="2" spans="3:15" ht="21" x14ac:dyDescent="0.4">
      <c r="C2" s="15" t="s">
        <v>87</v>
      </c>
      <c r="D2" s="16"/>
      <c r="G2" s="6" t="s">
        <v>90</v>
      </c>
      <c r="H2" s="7"/>
      <c r="I2" s="7"/>
      <c r="J2" s="7"/>
      <c r="K2" s="7"/>
      <c r="L2" s="7"/>
      <c r="M2" s="7"/>
      <c r="N2" s="7"/>
      <c r="O2" s="8"/>
    </row>
    <row r="3" spans="3:15" x14ac:dyDescent="0.3">
      <c r="C3" s="16"/>
      <c r="D3" s="16"/>
      <c r="G3" s="9" t="s">
        <v>91</v>
      </c>
      <c r="H3" s="10"/>
      <c r="I3" s="10"/>
      <c r="J3" s="10"/>
      <c r="K3" s="10"/>
      <c r="L3" s="10"/>
      <c r="M3" s="10"/>
      <c r="N3" s="10"/>
      <c r="O3" s="11"/>
    </row>
    <row r="4" spans="3:15" x14ac:dyDescent="0.3">
      <c r="C4" s="17" t="s">
        <v>80</v>
      </c>
      <c r="D4" s="17" t="s">
        <v>81</v>
      </c>
      <c r="G4" s="9" t="s">
        <v>92</v>
      </c>
      <c r="H4" s="10"/>
      <c r="I4" s="10"/>
      <c r="J4" s="10"/>
      <c r="K4" s="10"/>
      <c r="L4" s="10"/>
      <c r="M4" s="10"/>
      <c r="N4" s="10"/>
      <c r="O4" s="11"/>
    </row>
    <row r="5" spans="3:15" x14ac:dyDescent="0.3">
      <c r="C5" s="18" t="s">
        <v>82</v>
      </c>
      <c r="D5" s="19">
        <f>SUM(sales_cleaned[Revenue])</f>
        <v>311111</v>
      </c>
      <c r="G5" s="9" t="s">
        <v>93</v>
      </c>
      <c r="H5" s="10"/>
      <c r="I5" s="10"/>
      <c r="J5" s="10"/>
      <c r="K5" s="10"/>
      <c r="L5" s="10"/>
      <c r="M5" s="10"/>
      <c r="N5" s="10"/>
      <c r="O5" s="11"/>
    </row>
    <row r="6" spans="3:15" x14ac:dyDescent="0.3">
      <c r="C6" s="18" t="s">
        <v>85</v>
      </c>
      <c r="D6" s="20">
        <f>SUM(sales_cleaned[Revenue])/GETPIVOTDATA("[Measures].[Distinct Count of order_id]",sales_cleaned!$M$9)</f>
        <v>447.64172661870504</v>
      </c>
      <c r="G6" s="9" t="s">
        <v>94</v>
      </c>
      <c r="H6" s="10"/>
      <c r="I6" s="10"/>
      <c r="J6" s="10"/>
      <c r="K6" s="10"/>
      <c r="L6" s="10"/>
      <c r="M6" s="10"/>
      <c r="N6" s="10"/>
      <c r="O6" s="11"/>
    </row>
    <row r="7" spans="3:15" x14ac:dyDescent="0.3">
      <c r="C7" s="18" t="s">
        <v>83</v>
      </c>
      <c r="D7" s="21">
        <f>COUNTIF(orders[status],"Cancelled")/COUNTA(orders[order_id])</f>
        <v>0.10299999999999999</v>
      </c>
      <c r="G7" s="9" t="s">
        <v>95</v>
      </c>
      <c r="H7" s="10"/>
      <c r="I7" s="10"/>
      <c r="J7" s="10"/>
      <c r="K7" s="10"/>
      <c r="L7" s="10"/>
      <c r="M7" s="10"/>
      <c r="N7" s="10"/>
      <c r="O7" s="11"/>
    </row>
    <row r="8" spans="3:15" ht="15" thickBot="1" x14ac:dyDescent="0.35">
      <c r="C8" s="18" t="s">
        <v>84</v>
      </c>
      <c r="D8" s="21">
        <f>COUNTIF(orders[status],"Returned")/COUNTA(orders[order_id])</f>
        <v>9.1999999999999998E-2</v>
      </c>
      <c r="G8" s="12" t="s">
        <v>98</v>
      </c>
      <c r="H8" s="13"/>
      <c r="I8" s="13"/>
      <c r="J8" s="13"/>
      <c r="K8" s="13"/>
      <c r="L8" s="13"/>
      <c r="M8" s="13"/>
      <c r="N8" s="13"/>
      <c r="O8" s="14"/>
    </row>
    <row r="9" spans="3:15" x14ac:dyDescent="0.3">
      <c r="C9" s="2" t="s">
        <v>88</v>
      </c>
      <c r="D9" s="22">
        <f>SUM(D7,D8)</f>
        <v>0.19500000000000001</v>
      </c>
    </row>
    <row r="10" spans="3:15" x14ac:dyDescent="0.3">
      <c r="C10" s="2" t="s">
        <v>96</v>
      </c>
      <c r="D10" s="22" cm="1">
        <f t="array" ref="D10">SUMPRODUCT((COUNTIF(orders[customer_id],customers[customer_id])&gt;1)*1)/COUNTA(customers[customer_id])</f>
        <v>0.82</v>
      </c>
    </row>
    <row r="11" spans="3:15" x14ac:dyDescent="0.3">
      <c r="C11" s="2" t="s">
        <v>97</v>
      </c>
      <c r="D11" s="2" cm="1">
        <f t="array" ref="D11">SUMPRODUCT((COUNTIF(orders[customer_id],customers[customer_id])=0)*1)</f>
        <v>15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128FEAB-7380-4924-A5AA-EA98ADAA5839}">
  <ds:schemaRefs/>
</ds:datastoreItem>
</file>

<file path=customXml/itemProps2.xml><?xml version="1.0" encoding="utf-8"?>
<ds:datastoreItem xmlns:ds="http://schemas.openxmlformats.org/officeDocument/2006/customXml" ds:itemID="{E73F7BAA-C953-47CD-A845-285725FE80E5}">
  <ds:schemaRefs/>
</ds:datastoreItem>
</file>

<file path=customXml/itemProps3.xml><?xml version="1.0" encoding="utf-8"?>
<ds:datastoreItem xmlns:ds="http://schemas.openxmlformats.org/officeDocument/2006/customXml" ds:itemID="{DCD07DF9-7FB4-475A-9649-6942443160E2}">
  <ds:schemaRefs/>
</ds:datastoreItem>
</file>

<file path=customXml/itemProps4.xml><?xml version="1.0" encoding="utf-8"?>
<ds:datastoreItem xmlns:ds="http://schemas.openxmlformats.org/officeDocument/2006/customXml" ds:itemID="{53ED19FD-E253-4454-A181-EA0B52DB0DF7}">
  <ds:schemaRefs/>
</ds:datastoreItem>
</file>

<file path=customXml/itemProps5.xml><?xml version="1.0" encoding="utf-8"?>
<ds:datastoreItem xmlns:ds="http://schemas.openxmlformats.org/officeDocument/2006/customXml" ds:itemID="{668EB719-DAA5-46C6-96EA-E6D79BE3C494}">
  <ds:schemaRefs/>
</ds:datastoreItem>
</file>

<file path=customXml/itemProps6.xml><?xml version="1.0" encoding="utf-8"?>
<ds:datastoreItem xmlns:ds="http://schemas.openxmlformats.org/officeDocument/2006/customXml" ds:itemID="{9A2E932D-39EA-4996-BFCE-A7CF2A3CC3C9}">
  <ds:schemaRefs/>
</ds:datastoreItem>
</file>

<file path=customXml/itemProps7.xml><?xml version="1.0" encoding="utf-8"?>
<ds:datastoreItem xmlns:ds="http://schemas.openxmlformats.org/officeDocument/2006/customXml" ds:itemID="{B22DC9CB-60EF-480B-9AE3-6469126384ED}">
  <ds:schemaRefs/>
</ds:datastoreItem>
</file>

<file path=customXml/itemProps8.xml><?xml version="1.0" encoding="utf-8"?>
<ds:datastoreItem xmlns:ds="http://schemas.openxmlformats.org/officeDocument/2006/customXml" ds:itemID="{67915322-583E-44B5-8BC2-127B09AB48F4}">
  <ds:schemaRefs/>
</ds:datastoreItem>
</file>

<file path=customXml/itemProps9.xml><?xml version="1.0" encoding="utf-8"?>
<ds:datastoreItem xmlns:ds="http://schemas.openxmlformats.org/officeDocument/2006/customXml" ds:itemID="{ED953487-F8DE-45DB-A080-C97DE4B71BFB}">
  <ds:schemaRefs/>
</ds:datastoreItem>
</file>

<file path=customXml/itemProps10.xml><?xml version="1.0" encoding="utf-8"?>
<ds:datastoreItem xmlns:ds="http://schemas.openxmlformats.org/officeDocument/2006/customXml" ds:itemID="{AFADCE79-30B1-46A8-B874-E4D5F13D5D59}">
  <ds:schemaRefs/>
</ds:datastoreItem>
</file>

<file path=customXml/itemProps11.xml><?xml version="1.0" encoding="utf-8"?>
<ds:datastoreItem xmlns:ds="http://schemas.openxmlformats.org/officeDocument/2006/customXml" ds:itemID="{FE744268-E64D-4CE9-A862-306AF599872C}">
  <ds:schemaRefs/>
</ds:datastoreItem>
</file>

<file path=customXml/itemProps12.xml><?xml version="1.0" encoding="utf-8"?>
<ds:datastoreItem xmlns:ds="http://schemas.openxmlformats.org/officeDocument/2006/customXml" ds:itemID="{4346B07B-117E-4773-BF36-A44CAF55DF35}">
  <ds:schemaRefs/>
</ds:datastoreItem>
</file>

<file path=customXml/itemProps13.xml><?xml version="1.0" encoding="utf-8"?>
<ds:datastoreItem xmlns:ds="http://schemas.openxmlformats.org/officeDocument/2006/customXml" ds:itemID="{7523412D-F0FB-4794-9CF2-7B34C60CEAB0}">
  <ds:schemaRefs/>
</ds:datastoreItem>
</file>

<file path=customXml/itemProps14.xml><?xml version="1.0" encoding="utf-8"?>
<ds:datastoreItem xmlns:ds="http://schemas.openxmlformats.org/officeDocument/2006/customXml" ds:itemID="{E0C0E0E5-ACEF-46B3-85CB-96D1329DE933}">
  <ds:schemaRefs/>
</ds:datastoreItem>
</file>

<file path=customXml/itemProps15.xml><?xml version="1.0" encoding="utf-8"?>
<ds:datastoreItem xmlns:ds="http://schemas.openxmlformats.org/officeDocument/2006/customXml" ds:itemID="{721A81D1-2958-4DBC-9AFD-32A2E95B46A0}">
  <ds:schemaRefs/>
</ds:datastoreItem>
</file>

<file path=customXml/itemProps16.xml><?xml version="1.0" encoding="utf-8"?>
<ds:datastoreItem xmlns:ds="http://schemas.openxmlformats.org/officeDocument/2006/customXml" ds:itemID="{52653D81-A9AB-4BAF-88BA-82CDBE19D8A0}">
  <ds:schemaRefs/>
</ds:datastoreItem>
</file>

<file path=customXml/itemProps17.xml><?xml version="1.0" encoding="utf-8"?>
<ds:datastoreItem xmlns:ds="http://schemas.openxmlformats.org/officeDocument/2006/customXml" ds:itemID="{6CA8F188-6F69-4E94-B277-19EB186D0DC7}">
  <ds:schemaRefs/>
</ds:datastoreItem>
</file>

<file path=customXml/itemProps18.xml><?xml version="1.0" encoding="utf-8"?>
<ds:datastoreItem xmlns:ds="http://schemas.openxmlformats.org/officeDocument/2006/customXml" ds:itemID="{ADF526A0-31E6-4858-8661-52813AA5B0ED}">
  <ds:schemaRefs/>
</ds:datastoreItem>
</file>

<file path=customXml/itemProps19.xml><?xml version="1.0" encoding="utf-8"?>
<ds:datastoreItem xmlns:ds="http://schemas.openxmlformats.org/officeDocument/2006/customXml" ds:itemID="{531C0F89-ADAE-4A83-A605-40FF2D12A329}">
  <ds:schemaRefs/>
</ds:datastoreItem>
</file>

<file path=customXml/itemProps20.xml><?xml version="1.0" encoding="utf-8"?>
<ds:datastoreItem xmlns:ds="http://schemas.openxmlformats.org/officeDocument/2006/customXml" ds:itemID="{8CE5F89F-EC96-434D-A608-E883A4DC9C40}">
  <ds:schemaRefs/>
</ds:datastoreItem>
</file>

<file path=customXml/itemProps21.xml><?xml version="1.0" encoding="utf-8"?>
<ds:datastoreItem xmlns:ds="http://schemas.openxmlformats.org/officeDocument/2006/customXml" ds:itemID="{1B2048FD-CE6D-4701-97C7-ABE724333867}">
  <ds:schemaRefs>
    <ds:schemaRef ds:uri="http://schemas.microsoft.com/DataMashup"/>
  </ds:schemaRefs>
</ds:datastoreItem>
</file>

<file path=customXml/itemProps22.xml><?xml version="1.0" encoding="utf-8"?>
<ds:datastoreItem xmlns:ds="http://schemas.openxmlformats.org/officeDocument/2006/customXml" ds:itemID="{13C1AE26-CC22-4FC7-B596-01AC65A19D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customers</vt:lpstr>
      <vt:lpstr>orders</vt:lpstr>
      <vt:lpstr>order_items</vt:lpstr>
      <vt:lpstr>products</vt:lpstr>
      <vt:lpstr>sales_cleaned</vt:lpstr>
      <vt:lpstr>Category Wise Revenue </vt:lpstr>
      <vt:lpstr>Order Count By Country</vt:lpstr>
      <vt:lpstr>Top10Cust</vt:lpstr>
      <vt:lpstr>Lost Calculation</vt:lpstr>
      <vt:lpstr>KPI Summary &amp; Key Finding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Chaudhari</dc:creator>
  <cp:lastModifiedBy>Saurabh Chaudhari</cp:lastModifiedBy>
  <cp:lastPrinted>2026-07-11T14:14:36Z</cp:lastPrinted>
  <dcterms:created xsi:type="dcterms:W3CDTF">2026-07-11T13:45:34Z</dcterms:created>
  <dcterms:modified xsi:type="dcterms:W3CDTF">2026-07-12T21:27:50Z</dcterms:modified>
</cp:coreProperties>
</file>